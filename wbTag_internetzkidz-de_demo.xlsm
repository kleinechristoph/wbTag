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hkwo\Google Drive\internetzkidzDE\ExcelTracker\"/>
    </mc:Choice>
  </mc:AlternateContent>
  <xr:revisionPtr revIDLastSave="0" documentId="13_ncr:1_{834CE801-05F8-42F0-B8E3-B2519964702E}" xr6:coauthVersionLast="45" xr6:coauthVersionMax="45" xr10:uidLastSave="{00000000-0000-0000-0000-000000000000}"/>
  <bookViews>
    <workbookView xWindow="-108" yWindow="-108" windowWidth="30936" windowHeight="16896" xr2:uid="{760F10B9-87DA-49E3-9077-4351940F2FFD}"/>
  </bookViews>
  <sheets>
    <sheet name="inhalt" sheetId="1" r:id="rId1"/>
    <sheet name="tabelle" sheetId="2" r:id="rId2"/>
    <sheet name="graph" sheetId="5" r:id="rId3"/>
    <sheet name="_wbTagDB" sheetId="4" r:id="rId4"/>
    <sheet name="_pageviews" sheetId="7" r:id="rId5"/>
    <sheet name="_user" sheetId="8" r:id="rId6"/>
    <sheet name="_allmetrics" sheetId="9" r:id="rId7"/>
  </sheets>
  <functionGroups builtInGroupCount="19"/>
  <calcPr calcId="191029"/>
  <pivotCaches>
    <pivotCache cacheId="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Q17" i="2" l="1"/>
  <c r="E8" i="2"/>
  <c r="E9" i="2" s="1"/>
  <c r="F8" i="2"/>
  <c r="F9" i="2" s="1"/>
  <c r="G8" i="2"/>
  <c r="G10" i="2" s="1"/>
  <c r="H8" i="2"/>
  <c r="H9" i="2" s="1"/>
  <c r="I8" i="2"/>
  <c r="I9" i="2" s="1"/>
  <c r="J8" i="2"/>
  <c r="J9" i="2" s="1"/>
  <c r="K8" i="2"/>
  <c r="K10" i="2" s="1"/>
  <c r="L8" i="2"/>
  <c r="L9" i="2" s="1"/>
  <c r="M8" i="2"/>
  <c r="M9" i="2" s="1"/>
  <c r="N8" i="2"/>
  <c r="N9" i="2" s="1"/>
  <c r="O8" i="2"/>
  <c r="O10" i="2" s="1"/>
  <c r="E13" i="2"/>
  <c r="E11" i="2" s="1"/>
  <c r="F13" i="2"/>
  <c r="G13" i="2"/>
  <c r="H13" i="2"/>
  <c r="H11" i="2" s="1"/>
  <c r="I13" i="2"/>
  <c r="I11" i="2" s="1"/>
  <c r="J13" i="2"/>
  <c r="J11" i="2" s="1"/>
  <c r="K13" i="2"/>
  <c r="L13" i="2"/>
  <c r="L11" i="2" s="1"/>
  <c r="M13" i="2"/>
  <c r="M11" i="2" s="1"/>
  <c r="N13" i="2"/>
  <c r="O13" i="2"/>
  <c r="E17" i="2"/>
  <c r="F17" i="2"/>
  <c r="G17" i="2"/>
  <c r="H17" i="2"/>
  <c r="I17" i="2"/>
  <c r="J17" i="2"/>
  <c r="K17" i="2"/>
  <c r="L17" i="2"/>
  <c r="M17" i="2"/>
  <c r="N17" i="2"/>
  <c r="O17" i="2"/>
  <c r="D17" i="2"/>
  <c r="D13" i="2"/>
  <c r="D11" i="2" s="1"/>
  <c r="D8" i="2"/>
  <c r="D9" i="2" s="1"/>
  <c r="D6" i="2"/>
  <c r="E6" i="2" s="1"/>
  <c r="F6" i="2" s="1"/>
  <c r="G6" i="2" s="1"/>
  <c r="H6" i="2" s="1"/>
  <c r="I6" i="2" s="1"/>
  <c r="J6" i="2" s="1"/>
  <c r="K6" i="2" s="1"/>
  <c r="L6" i="2" s="1"/>
  <c r="M6" i="2" s="1"/>
  <c r="N6" i="2" s="1"/>
  <c r="O6" i="2" s="1"/>
  <c r="Q13" i="2" l="1"/>
  <c r="Q8" i="2"/>
  <c r="I10" i="2"/>
  <c r="F16" i="2"/>
  <c r="M16" i="2"/>
  <c r="I16" i="2"/>
  <c r="N14" i="2"/>
  <c r="N19" i="2" s="1"/>
  <c r="J14" i="2"/>
  <c r="J19" i="2" s="1"/>
  <c r="F14" i="2"/>
  <c r="F19" i="2" s="1"/>
  <c r="E16" i="2"/>
  <c r="N10" i="2"/>
  <c r="E10" i="2"/>
  <c r="F10" i="2"/>
  <c r="M14" i="2"/>
  <c r="M19" i="2" s="1"/>
  <c r="I14" i="2"/>
  <c r="I19" i="2" s="1"/>
  <c r="E14" i="2"/>
  <c r="E19" i="2" s="1"/>
  <c r="M10" i="2"/>
  <c r="O14" i="2"/>
  <c r="O19" i="2" s="1"/>
  <c r="K14" i="2"/>
  <c r="K19" i="2" s="1"/>
  <c r="G14" i="2"/>
  <c r="G19" i="2" s="1"/>
  <c r="J16" i="2"/>
  <c r="N16" i="2"/>
  <c r="J10" i="2"/>
  <c r="O16" i="2"/>
  <c r="K16" i="2"/>
  <c r="G16" i="2"/>
  <c r="F11" i="2"/>
  <c r="N11" i="2"/>
  <c r="K11" i="2"/>
  <c r="O11" i="2"/>
  <c r="G11" i="2"/>
  <c r="L16" i="2"/>
  <c r="H16" i="2"/>
  <c r="L10" i="2"/>
  <c r="H10" i="2"/>
  <c r="O9" i="2"/>
  <c r="K9" i="2"/>
  <c r="G9" i="2"/>
  <c r="L14" i="2"/>
  <c r="L19" i="2" s="1"/>
  <c r="H14" i="2"/>
  <c r="H19" i="2" s="1"/>
  <c r="D14" i="2"/>
  <c r="D16" i="2"/>
  <c r="D10" i="2"/>
  <c r="Q16" i="2" l="1"/>
  <c r="Q9" i="2"/>
  <c r="D19" i="2"/>
  <c r="Q19" i="2" s="1"/>
  <c r="Q14" i="2"/>
  <c r="Q10" i="2"/>
  <c r="Q11" i="2"/>
</calcChain>
</file>

<file path=xl/sharedStrings.xml><?xml version="1.0" encoding="utf-8"?>
<sst xmlns="http://schemas.openxmlformats.org/spreadsheetml/2006/main" count="5722" uniqueCount="547">
  <si>
    <t>Inhaltsverzeichnis</t>
  </si>
  <si>
    <t>Tabelle</t>
  </si>
  <si>
    <t>Graph</t>
  </si>
  <si>
    <t>_datenbank</t>
  </si>
  <si>
    <t>&gt;</t>
  </si>
  <si>
    <t>Webanalytics</t>
  </si>
  <si>
    <t>REVENUE</t>
  </si>
  <si>
    <t>VISITS</t>
  </si>
  <si>
    <t>VISITORS</t>
  </si>
  <si>
    <t>PAGEVIEWS</t>
  </si>
  <si>
    <t>EVENTS</t>
  </si>
  <si>
    <t>TRANSACTIONS</t>
  </si>
  <si>
    <t>BASKET VALUE</t>
  </si>
  <si>
    <t>CONVERSION RATE</t>
  </si>
  <si>
    <t>AVERAGE BASKET</t>
  </si>
  <si>
    <t>_all</t>
  </si>
  <si>
    <t>MAIN REPORT TABLE INCL. FORECAST</t>
  </si>
  <si>
    <t>ID</t>
  </si>
  <si>
    <t>EventType</t>
  </si>
  <si>
    <t>TimeStamp</t>
  </si>
  <si>
    <t>URL</t>
  </si>
  <si>
    <t>User</t>
  </si>
  <si>
    <t>OS</t>
  </si>
  <si>
    <t>20190913110254p</t>
  </si>
  <si>
    <t>pageview</t>
  </si>
  <si>
    <t>/_datenbank</t>
  </si>
  <si>
    <t>Christoph Kleine</t>
  </si>
  <si>
    <t>Windows (32-bit) NT 10.00</t>
  </si>
  <si>
    <t>Count</t>
  </si>
  <si>
    <t>20190913113110p</t>
  </si>
  <si>
    <t>20190913113217p</t>
  </si>
  <si>
    <t>/graph</t>
  </si>
  <si>
    <t>/tabelle</t>
  </si>
  <si>
    <t>20190913113219p</t>
  </si>
  <si>
    <t>/inhalt</t>
  </si>
  <si>
    <t>20190913113220p</t>
  </si>
  <si>
    <t>20190913113308p</t>
  </si>
  <si>
    <t>20190913113310p</t>
  </si>
  <si>
    <t>20190913113311p</t>
  </si>
  <si>
    <t>20190913113330p</t>
  </si>
  <si>
    <t>20190913113332p</t>
  </si>
  <si>
    <t>20190913114810p</t>
  </si>
  <si>
    <t>20190913114812p</t>
  </si>
  <si>
    <t>20190913114813p</t>
  </si>
  <si>
    <t>20190913115000p</t>
  </si>
  <si>
    <t>20190913115001p</t>
  </si>
  <si>
    <t>20190913115029p</t>
  </si>
  <si>
    <t>/Tabelle1</t>
  </si>
  <si>
    <t>20190913115031p</t>
  </si>
  <si>
    <t>20190913115033p</t>
  </si>
  <si>
    <t>20190913115034p</t>
  </si>
  <si>
    <t>20190913115038p</t>
  </si>
  <si>
    <t>20190913115132n</t>
  </si>
  <si>
    <t>newpage</t>
  </si>
  <si>
    <t>/Tabelle2</t>
  </si>
  <si>
    <t>20190913115132p</t>
  </si>
  <si>
    <t>20190913115134p</t>
  </si>
  <si>
    <t>20190913115142p</t>
  </si>
  <si>
    <t>20190913115144p</t>
  </si>
  <si>
    <t>20190913115148p</t>
  </si>
  <si>
    <t>20190913115205p</t>
  </si>
  <si>
    <t>20190913115251p</t>
  </si>
  <si>
    <t>/_pageviews</t>
  </si>
  <si>
    <t>(Leer)</t>
  </si>
  <si>
    <t>Gesamtergebnis</t>
  </si>
  <si>
    <t>Zeilenbeschriftungen</t>
  </si>
  <si>
    <t>(Alle)</t>
  </si>
  <si>
    <t>20190913115353p</t>
  </si>
  <si>
    <t>20190913115354p</t>
  </si>
  <si>
    <t>20190913115425p</t>
  </si>
  <si>
    <t>20190913115502n</t>
  </si>
  <si>
    <t>/Tabelle3</t>
  </si>
  <si>
    <t>20190913115502p</t>
  </si>
  <si>
    <t>20190913115510p</t>
  </si>
  <si>
    <t>20190913115520p</t>
  </si>
  <si>
    <t>/_user</t>
  </si>
  <si>
    <t>20190913115522p</t>
  </si>
  <si>
    <t>20190913115537p</t>
  </si>
  <si>
    <t>Letzte Aktivität</t>
  </si>
  <si>
    <t>20190913115724p</t>
  </si>
  <si>
    <t>20190913115821p</t>
  </si>
  <si>
    <t>20190913115828p</t>
  </si>
  <si>
    <t>20190913120130p</t>
  </si>
  <si>
    <t>20190917134251p</t>
  </si>
  <si>
    <t>20190917134517s</t>
  </si>
  <si>
    <t>save</t>
  </si>
  <si>
    <t>20190917134547s</t>
  </si>
  <si>
    <t>20190917134606p</t>
  </si>
  <si>
    <t>20190917134609p</t>
  </si>
  <si>
    <t>20190917134611p</t>
  </si>
  <si>
    <t>20190917134626n</t>
  </si>
  <si>
    <t>20190917134626p</t>
  </si>
  <si>
    <t>20190917134627p</t>
  </si>
  <si>
    <t>20190917134630p</t>
  </si>
  <si>
    <t>20190917134642p</t>
  </si>
  <si>
    <t>20190917134704p</t>
  </si>
  <si>
    <t>/_allmetrics</t>
  </si>
  <si>
    <t>Summe von pageviews</t>
  </si>
  <si>
    <t>20190917135251n</t>
  </si>
  <si>
    <t>20190917135251p</t>
  </si>
  <si>
    <t>20190917135311p</t>
  </si>
  <si>
    <t>20190917135437s</t>
  </si>
  <si>
    <t>20190917135616s</t>
  </si>
  <si>
    <t>20190917140032p</t>
  </si>
  <si>
    <t>20190917140033p</t>
  </si>
  <si>
    <t>20190917140039s</t>
  </si>
  <si>
    <t>20190917140042s</t>
  </si>
  <si>
    <t>20190917142218o</t>
  </si>
  <si>
    <t>open</t>
  </si>
  <si>
    <t>20190919190219p</t>
  </si>
  <si>
    <t>20190919190221p</t>
  </si>
  <si>
    <t>20190920103230s</t>
  </si>
  <si>
    <t>20190920103331s</t>
  </si>
  <si>
    <t>20190920103410s</t>
  </si>
  <si>
    <t>20190920103649s</t>
  </si>
  <si>
    <t>20190920103824s</t>
  </si>
  <si>
    <t>20190920103854p</t>
  </si>
  <si>
    <t>20190920103856p</t>
  </si>
  <si>
    <t>pageviews</t>
  </si>
  <si>
    <t>events</t>
  </si>
  <si>
    <t>opens</t>
  </si>
  <si>
    <t>saves</t>
  </si>
  <si>
    <t>20190920104147s</t>
  </si>
  <si>
    <t>20190920104204p</t>
  </si>
  <si>
    <t>Summe von events</t>
  </si>
  <si>
    <t>Summe von opens</t>
  </si>
  <si>
    <t>Summe von saves</t>
  </si>
  <si>
    <t>20190920104320s</t>
  </si>
  <si>
    <t>20190920104322p</t>
  </si>
  <si>
    <t>20190920104323p</t>
  </si>
  <si>
    <t>20190920104331p</t>
  </si>
  <si>
    <t>20190920104332p</t>
  </si>
  <si>
    <t>20190920104334p</t>
  </si>
  <si>
    <t>20190920104424s</t>
  </si>
  <si>
    <t>20190920104445s</t>
  </si>
  <si>
    <t>20190920104602s</t>
  </si>
  <si>
    <t>/_wbTagDB</t>
  </si>
  <si>
    <t>20190920104622p</t>
  </si>
  <si>
    <t>20190920104625p</t>
  </si>
  <si>
    <t>20190920104627p</t>
  </si>
  <si>
    <t>20190920105918s</t>
  </si>
  <si>
    <t>20190920110044s</t>
  </si>
  <si>
    <t>20190920110215s</t>
  </si>
  <si>
    <t>20190920110228s</t>
  </si>
  <si>
    <t>20190920110353s</t>
  </si>
  <si>
    <t>20190920113645s</t>
  </si>
  <si>
    <t>20190920114537o</t>
  </si>
  <si>
    <t>20190920114848s</t>
  </si>
  <si>
    <t>20190920114852p</t>
  </si>
  <si>
    <t>20190920114854p</t>
  </si>
  <si>
    <t>20190920114857p</t>
  </si>
  <si>
    <t>20190920115035s</t>
  </si>
  <si>
    <t>20190920115114s</t>
  </si>
  <si>
    <t>20190920115205s</t>
  </si>
  <si>
    <t>20190920115303s</t>
  </si>
  <si>
    <t>20190920115444s</t>
  </si>
  <si>
    <t>20190920115450p</t>
  </si>
  <si>
    <t>20190920115452p</t>
  </si>
  <si>
    <t>20190920115454p</t>
  </si>
  <si>
    <t>20190920115512p</t>
  </si>
  <si>
    <t>20190920115533s</t>
  </si>
  <si>
    <t>20190920120210s</t>
  </si>
  <si>
    <t>20190920120345s</t>
  </si>
  <si>
    <t>20190920120404s</t>
  </si>
  <si>
    <t>20190920120434s</t>
  </si>
  <si>
    <t>20190920201505o</t>
  </si>
  <si>
    <t>20190920201514p</t>
  </si>
  <si>
    <t>20190920201515p</t>
  </si>
  <si>
    <t>20190920201516p</t>
  </si>
  <si>
    <t>20190920201529p</t>
  </si>
  <si>
    <t>20190920201532p</t>
  </si>
  <si>
    <t>20190920201533p</t>
  </si>
  <si>
    <t>20190920201535p</t>
  </si>
  <si>
    <t>20190920201537p</t>
  </si>
  <si>
    <t>20190920201550p</t>
  </si>
  <si>
    <t>20190920201551p</t>
  </si>
  <si>
    <t>20190920201552p</t>
  </si>
  <si>
    <t>20190920201554p</t>
  </si>
  <si>
    <t>20190920201601p</t>
  </si>
  <si>
    <t>20190920201604p</t>
  </si>
  <si>
    <t>20190920201606p</t>
  </si>
  <si>
    <t>20190920201620p</t>
  </si>
  <si>
    <t>20190920202036s</t>
  </si>
  <si>
    <t>20190920202301s</t>
  </si>
  <si>
    <t>20190920202444s</t>
  </si>
  <si>
    <t>20190920202956s</t>
  </si>
  <si>
    <t>20190920203100s</t>
  </si>
  <si>
    <t>20190920203112n</t>
  </si>
  <si>
    <t>20190920203112p</t>
  </si>
  <si>
    <t>20190920203156p</t>
  </si>
  <si>
    <t>20190920203243s</t>
  </si>
  <si>
    <t>20190920203246n</t>
  </si>
  <si>
    <t>20190920203246p</t>
  </si>
  <si>
    <t>20190920203416s</t>
  </si>
  <si>
    <t>20190920203419n</t>
  </si>
  <si>
    <t>20190920203419p</t>
  </si>
  <si>
    <t>20190920203532s</t>
  </si>
  <si>
    <t>20190920203615p</t>
  </si>
  <si>
    <t>20190920203618p</t>
  </si>
  <si>
    <t>20190920203626s</t>
  </si>
  <si>
    <t>20190920203926s</t>
  </si>
  <si>
    <t>20190920204011s</t>
  </si>
  <si>
    <t>20190920204043s</t>
  </si>
  <si>
    <t>20190920204131s</t>
  </si>
  <si>
    <t>20190920204210s</t>
  </si>
  <si>
    <t>20190920204213p</t>
  </si>
  <si>
    <t>20190920204215s</t>
  </si>
  <si>
    <t>20190923201739p</t>
  </si>
  <si>
    <t>20191014115236o</t>
  </si>
  <si>
    <t>20191014115310s</t>
  </si>
  <si>
    <t>20191014115420p</t>
  </si>
  <si>
    <t>20191014115422p</t>
  </si>
  <si>
    <t>20191014115423p</t>
  </si>
  <si>
    <t>20191014115430p</t>
  </si>
  <si>
    <t>20191014115432s</t>
  </si>
  <si>
    <t>20191014115502p</t>
  </si>
  <si>
    <t>20191014115503p</t>
  </si>
  <si>
    <t>20191014115509p</t>
  </si>
  <si>
    <t>20191014115510p</t>
  </si>
  <si>
    <t>20191014115517p</t>
  </si>
  <si>
    <t>20191014115518p</t>
  </si>
  <si>
    <t>20191014115521p</t>
  </si>
  <si>
    <t>20191014115522p</t>
  </si>
  <si>
    <t>20191014115524p</t>
  </si>
  <si>
    <t>20191014115526p</t>
  </si>
  <si>
    <t>20191014120648o</t>
  </si>
  <si>
    <t>20191014120652p</t>
  </si>
  <si>
    <t>20190801131415e</t>
  </si>
  <si>
    <t>event</t>
  </si>
  <si>
    <t>/tabelle2</t>
  </si>
  <si>
    <t>Bernd Stromberg</t>
  </si>
  <si>
    <t>Windows 8 Professional</t>
  </si>
  <si>
    <t>20190801131415p</t>
  </si>
  <si>
    <t>/tabellle</t>
  </si>
  <si>
    <t>20190801131415o</t>
  </si>
  <si>
    <t>/tabelle1</t>
  </si>
  <si>
    <t>Dwight Schrute</t>
  </si>
  <si>
    <t>Windows XP (32-Bit)</t>
  </si>
  <si>
    <t>/datenbank</t>
  </si>
  <si>
    <t>Jim Halpert</t>
  </si>
  <si>
    <t>Michael Scott</t>
  </si>
  <si>
    <t>20190801131415s</t>
  </si>
  <si>
    <t>Ulf Steinke</t>
  </si>
  <si>
    <t>20190802131415e</t>
  </si>
  <si>
    <t>20190802131415p</t>
  </si>
  <si>
    <t>20190802131415o</t>
  </si>
  <si>
    <t>20190803131415o</t>
  </si>
  <si>
    <t>20190803131415p</t>
  </si>
  <si>
    <t>20190803131415e</t>
  </si>
  <si>
    <t>Berthold Heisterkamp</t>
  </si>
  <si>
    <t>20190803131415s</t>
  </si>
  <si>
    <t>20190804131415p</t>
  </si>
  <si>
    <t>20190804131415e</t>
  </si>
  <si>
    <t>20190804131415o</t>
  </si>
  <si>
    <t>20190805131415p</t>
  </si>
  <si>
    <t>20190805131415s</t>
  </si>
  <si>
    <t>20190806131415p</t>
  </si>
  <si>
    <t>20190806131415e</t>
  </si>
  <si>
    <t>20190806131415o</t>
  </si>
  <si>
    <t>20190806131415s</t>
  </si>
  <si>
    <t>20190807131415p</t>
  </si>
  <si>
    <t>20190807131415s</t>
  </si>
  <si>
    <t>20190807131415e</t>
  </si>
  <si>
    <t>20190808131415p</t>
  </si>
  <si>
    <t>20190808131415o</t>
  </si>
  <si>
    <t>20190808131415s</t>
  </si>
  <si>
    <t>20190809131415e</t>
  </si>
  <si>
    <t>20190809131415p</t>
  </si>
  <si>
    <t>20190809131415s</t>
  </si>
  <si>
    <t>20190810131415p</t>
  </si>
  <si>
    <t>20190810131415e</t>
  </si>
  <si>
    <t>20190811131415p</t>
  </si>
  <si>
    <t>20190811131415s</t>
  </si>
  <si>
    <t>20190811131415e</t>
  </si>
  <si>
    <t>20190812131415o</t>
  </si>
  <si>
    <t>20190812131415p</t>
  </si>
  <si>
    <t>20190812131415e</t>
  </si>
  <si>
    <t>20190812131415s</t>
  </si>
  <si>
    <t>20190813131415p</t>
  </si>
  <si>
    <t>20190813131415e</t>
  </si>
  <si>
    <t>20190813131415o</t>
  </si>
  <si>
    <t>20190813131415s</t>
  </si>
  <si>
    <t>20190814131415p</t>
  </si>
  <si>
    <t>20190814131415s</t>
  </si>
  <si>
    <t>20190814131415o</t>
  </si>
  <si>
    <t>20190815131415p</t>
  </si>
  <si>
    <t>20190815131415s</t>
  </si>
  <si>
    <t>20190815131415o</t>
  </si>
  <si>
    <t>20190816131415p</t>
  </si>
  <si>
    <t>20190816131415e</t>
  </si>
  <si>
    <t>20190817131415p</t>
  </si>
  <si>
    <t>20190817131415o</t>
  </si>
  <si>
    <t>20190817131415e</t>
  </si>
  <si>
    <t>20190818131415p</t>
  </si>
  <si>
    <t>20190818131415o</t>
  </si>
  <si>
    <t>20190818131415e</t>
  </si>
  <si>
    <t>20190819131415p</t>
  </si>
  <si>
    <t>20190819131415o</t>
  </si>
  <si>
    <t>20190820131415s</t>
  </si>
  <si>
    <t>20190820131415o</t>
  </si>
  <si>
    <t>20190820131415p</t>
  </si>
  <si>
    <t>20190821131415s</t>
  </si>
  <si>
    <t>20190821131415p</t>
  </si>
  <si>
    <t>20190821131415e</t>
  </si>
  <si>
    <t>20190822131415p</t>
  </si>
  <si>
    <t>20190822131415o</t>
  </si>
  <si>
    <t>20190822131415e</t>
  </si>
  <si>
    <t>20190823131415s</t>
  </si>
  <si>
    <t>20190823131415o</t>
  </si>
  <si>
    <t>20190823131415p</t>
  </si>
  <si>
    <t>20190824131415p</t>
  </si>
  <si>
    <t>20190824131415o</t>
  </si>
  <si>
    <t>20190825131415p</t>
  </si>
  <si>
    <t>20190826131415p</t>
  </si>
  <si>
    <t>20190827131415e</t>
  </si>
  <si>
    <t>20190827131415p</t>
  </si>
  <si>
    <t>20190827131415o</t>
  </si>
  <si>
    <t>20190828131415p</t>
  </si>
  <si>
    <t>20190828131415e</t>
  </si>
  <si>
    <t>20190829131415p</t>
  </si>
  <si>
    <t>20190829131415o</t>
  </si>
  <si>
    <t>20190829131415e</t>
  </si>
  <si>
    <t>20190830131415p</t>
  </si>
  <si>
    <t>20190830131415o</t>
  </si>
  <si>
    <t>20190901131415p</t>
  </si>
  <si>
    <t>20190901131415s</t>
  </si>
  <si>
    <t>20190901131415e</t>
  </si>
  <si>
    <t>20190902131415e</t>
  </si>
  <si>
    <t>20190902131415o</t>
  </si>
  <si>
    <t>20190902131415p</t>
  </si>
  <si>
    <t>20190903131415p</t>
  </si>
  <si>
    <t>20190903131415s</t>
  </si>
  <si>
    <t>20190903131415e</t>
  </si>
  <si>
    <t>20190904131415e</t>
  </si>
  <si>
    <t>20190904131415p</t>
  </si>
  <si>
    <t>20190905131415p</t>
  </si>
  <si>
    <t>20190905131415s</t>
  </si>
  <si>
    <t>20190906131415p</t>
  </si>
  <si>
    <t>20190906131415e</t>
  </si>
  <si>
    <t>20190906131415s</t>
  </si>
  <si>
    <t>20190907131415p</t>
  </si>
  <si>
    <t>20190907131415s</t>
  </si>
  <si>
    <t>20190907131415e</t>
  </si>
  <si>
    <t>20190908131415p</t>
  </si>
  <si>
    <t>20190908131415e</t>
  </si>
  <si>
    <t>20190908131415s</t>
  </si>
  <si>
    <t>20190909131415p</t>
  </si>
  <si>
    <t>20190909131415s</t>
  </si>
  <si>
    <t>20190909131415e</t>
  </si>
  <si>
    <t>20190909131415o</t>
  </si>
  <si>
    <t>20190910131415p</t>
  </si>
  <si>
    <t>20190910131415s</t>
  </si>
  <si>
    <t>20190910131415o</t>
  </si>
  <si>
    <t>20190911131415e</t>
  </si>
  <si>
    <t>20190911131415o</t>
  </si>
  <si>
    <t>20190911131415p</t>
  </si>
  <si>
    <t>20190911131415s</t>
  </si>
  <si>
    <t>20190912131415e</t>
  </si>
  <si>
    <t>20190912131415p</t>
  </si>
  <si>
    <t>20190912131415s</t>
  </si>
  <si>
    <t>20190913131415p</t>
  </si>
  <si>
    <t>20190913131415e</t>
  </si>
  <si>
    <t>20190913131415o</t>
  </si>
  <si>
    <t>20190914131415e</t>
  </si>
  <si>
    <t>20190914131415p</t>
  </si>
  <si>
    <t>20190914131415o</t>
  </si>
  <si>
    <t>20190915131415e</t>
  </si>
  <si>
    <t>20190915131415p</t>
  </si>
  <si>
    <t>20190916131415p</t>
  </si>
  <si>
    <t>20190916131415o</t>
  </si>
  <si>
    <t>20190916131415s</t>
  </si>
  <si>
    <t>20190917131415p</t>
  </si>
  <si>
    <t>20190917131415o</t>
  </si>
  <si>
    <t>20190918131415p</t>
  </si>
  <si>
    <t>20190918131415s</t>
  </si>
  <si>
    <t>20190918131415o</t>
  </si>
  <si>
    <t>20190918131415e</t>
  </si>
  <si>
    <t>20190919131415p</t>
  </si>
  <si>
    <t>20190919131415e</t>
  </si>
  <si>
    <t>20190919131415s</t>
  </si>
  <si>
    <t>20190920131415p</t>
  </si>
  <si>
    <t>20190920131415e</t>
  </si>
  <si>
    <t>20190920131415o</t>
  </si>
  <si>
    <t>20190920131415s</t>
  </si>
  <si>
    <t>20190921131415p</t>
  </si>
  <si>
    <t>20190921131415o</t>
  </si>
  <si>
    <t>20190922131415p</t>
  </si>
  <si>
    <t>20190922131415s</t>
  </si>
  <si>
    <t>20190923131415p</t>
  </si>
  <si>
    <t>20190923131415s</t>
  </si>
  <si>
    <t>20190923131415e</t>
  </si>
  <si>
    <t>20190924131415p</t>
  </si>
  <si>
    <t>20190925131415o</t>
  </si>
  <si>
    <t>20190925131415p</t>
  </si>
  <si>
    <t>20190925131415s</t>
  </si>
  <si>
    <t>20190926131415p</t>
  </si>
  <si>
    <t>20190926131415e</t>
  </si>
  <si>
    <t>20190927131415p</t>
  </si>
  <si>
    <t>20190927131415e</t>
  </si>
  <si>
    <t>20190927131415s</t>
  </si>
  <si>
    <t>20190928131415p</t>
  </si>
  <si>
    <t>20190928131415o</t>
  </si>
  <si>
    <t>20190929131415p</t>
  </si>
  <si>
    <t>20190929131415o</t>
  </si>
  <si>
    <t>20190930131415p</t>
  </si>
  <si>
    <t>20190930131415o</t>
  </si>
  <si>
    <t>20190930131415e</t>
  </si>
  <si>
    <t>20190930131415s</t>
  </si>
  <si>
    <t>20191001131415p</t>
  </si>
  <si>
    <t>20191001131415e</t>
  </si>
  <si>
    <t>20191001131415o</t>
  </si>
  <si>
    <t>20191002131415p</t>
  </si>
  <si>
    <t>20191002131415e</t>
  </si>
  <si>
    <t>20191002131415o</t>
  </si>
  <si>
    <t>20191003131415p</t>
  </si>
  <si>
    <t>20191003131415o</t>
  </si>
  <si>
    <t>20191004131415s</t>
  </si>
  <si>
    <t>20191004131415p</t>
  </si>
  <si>
    <t>20191005131415e</t>
  </si>
  <si>
    <t>20191005131415p</t>
  </si>
  <si>
    <t>20191005131415s</t>
  </si>
  <si>
    <t>20191006131415s</t>
  </si>
  <si>
    <t>20191006131415p</t>
  </si>
  <si>
    <t>20191006131415e</t>
  </si>
  <si>
    <t>20191007131415p</t>
  </si>
  <si>
    <t>20191007131415o</t>
  </si>
  <si>
    <t>20191007131415e</t>
  </si>
  <si>
    <t>20191008131415p</t>
  </si>
  <si>
    <t>20191008131415s</t>
  </si>
  <si>
    <t>20191008131415e</t>
  </si>
  <si>
    <t>20191009131415e</t>
  </si>
  <si>
    <t>20191009131415p</t>
  </si>
  <si>
    <t>20191009131415o</t>
  </si>
  <si>
    <t>20191010131415e</t>
  </si>
  <si>
    <t>20191010131415p</t>
  </si>
  <si>
    <t>20191010131415s</t>
  </si>
  <si>
    <t>20191011131415e</t>
  </si>
  <si>
    <t>20191011131415p</t>
  </si>
  <si>
    <t>20191011131415s</t>
  </si>
  <si>
    <t>20191011131415o</t>
  </si>
  <si>
    <t>20191012131415p</t>
  </si>
  <si>
    <t>20191012131415e</t>
  </si>
  <si>
    <t>20191013131415e</t>
  </si>
  <si>
    <t>20191013131415s</t>
  </si>
  <si>
    <t>20191013131415p</t>
  </si>
  <si>
    <t>20191013131415o</t>
  </si>
  <si>
    <t>20191014131415p</t>
  </si>
  <si>
    <t>20191014131415o</t>
  </si>
  <si>
    <t>20191014131415e</t>
  </si>
  <si>
    <t>20191014131415s</t>
  </si>
  <si>
    <t>20191015131415p</t>
  </si>
  <si>
    <t>20191015131415s</t>
  </si>
  <si>
    <t>20191015131415o</t>
  </si>
  <si>
    <t>20191016131415o</t>
  </si>
  <si>
    <t>20191016131415p</t>
  </si>
  <si>
    <t>20191016131415e</t>
  </si>
  <si>
    <t>20191017131415p</t>
  </si>
  <si>
    <t>20191017131415o</t>
  </si>
  <si>
    <t>20191017131415s</t>
  </si>
  <si>
    <t>20191017131415e</t>
  </si>
  <si>
    <t>20191018131415p</t>
  </si>
  <si>
    <t>20191018131415e</t>
  </si>
  <si>
    <t>20191019131415p</t>
  </si>
  <si>
    <t>20191019131415e</t>
  </si>
  <si>
    <t>20191019131415o</t>
  </si>
  <si>
    <t>20191020131415o</t>
  </si>
  <si>
    <t>20191020131415e</t>
  </si>
  <si>
    <t>20191020131415p</t>
  </si>
  <si>
    <t>20191020131415s</t>
  </si>
  <si>
    <t>20191021131415p</t>
  </si>
  <si>
    <t>20191021131415e</t>
  </si>
  <si>
    <t>20191022131415p</t>
  </si>
  <si>
    <t>20191022131415o</t>
  </si>
  <si>
    <t>20191022131415e</t>
  </si>
  <si>
    <t>20191022131415s</t>
  </si>
  <si>
    <t>20191023131415p</t>
  </si>
  <si>
    <t>20191023131415e</t>
  </si>
  <si>
    <t>20191023131415o</t>
  </si>
  <si>
    <t>20191024131415o</t>
  </si>
  <si>
    <t>20191024131415p</t>
  </si>
  <si>
    <t>20191024131415s</t>
  </si>
  <si>
    <t>20191025131415p</t>
  </si>
  <si>
    <t>20191025131415s</t>
  </si>
  <si>
    <t>20191026131415p</t>
  </si>
  <si>
    <t>20191026131415e</t>
  </si>
  <si>
    <t>20191026131415s</t>
  </si>
  <si>
    <t>20191027131415p</t>
  </si>
  <si>
    <t>20191027131415e</t>
  </si>
  <si>
    <t>20191028131415e</t>
  </si>
  <si>
    <t>20191028131415p</t>
  </si>
  <si>
    <t>20191028131415o</t>
  </si>
  <si>
    <t>20191029131415p</t>
  </si>
  <si>
    <t>20191029131415e</t>
  </si>
  <si>
    <t>20191030131415o</t>
  </si>
  <si>
    <t>20191030131415p</t>
  </si>
  <si>
    <t>20191030131415e</t>
  </si>
  <si>
    <t>20191030131415s</t>
  </si>
  <si>
    <t>20191014124856s</t>
  </si>
  <si>
    <t>20191014125002p</t>
  </si>
  <si>
    <t>20191014125003p</t>
  </si>
  <si>
    <t>20191014125004p</t>
  </si>
  <si>
    <t>20191014125026s</t>
  </si>
  <si>
    <t>20191014125816p</t>
  </si>
  <si>
    <t>20191014125843p</t>
  </si>
  <si>
    <t>20191014125851s</t>
  </si>
  <si>
    <t>internetzkidz.de</t>
  </si>
  <si>
    <t>20191014130000s</t>
  </si>
  <si>
    <t>20191014130003p</t>
  </si>
  <si>
    <t>20191014130007s</t>
  </si>
  <si>
    <t>20191014132322o</t>
  </si>
  <si>
    <t>20191014132930s</t>
  </si>
  <si>
    <t>20191014134134s</t>
  </si>
  <si>
    <t>20191014134240s</t>
  </si>
  <si>
    <t>20191014134338s</t>
  </si>
  <si>
    <t>20191014134343n</t>
  </si>
  <si>
    <t>/Makro1</t>
  </si>
  <si>
    <t>20191014134350p</t>
  </si>
  <si>
    <t>20191014134355n</t>
  </si>
  <si>
    <t>/Makro2</t>
  </si>
  <si>
    <t>20191014134402p</t>
  </si>
  <si>
    <t>20191014134413n</t>
  </si>
  <si>
    <t>20191014134413p</t>
  </si>
  <si>
    <t>20191014140202s</t>
  </si>
  <si>
    <t>20191014140220s</t>
  </si>
  <si>
    <t>20191014140239s</t>
  </si>
  <si>
    <t>20191014140306s</t>
  </si>
  <si>
    <t>20191014140401p</t>
  </si>
  <si>
    <t>20191014140403p</t>
  </si>
  <si>
    <t>20191014140406p</t>
  </si>
  <si>
    <t>20191014190418s</t>
  </si>
  <si>
    <t>20191015130313o</t>
  </si>
  <si>
    <t>20191015130500s</t>
  </si>
  <si>
    <t>20191015130522s</t>
  </si>
  <si>
    <t>20191015130535s</t>
  </si>
  <si>
    <t>20191015130608s</t>
  </si>
  <si>
    <t>pageAdd</t>
  </si>
  <si>
    <t>20191015130701n</t>
  </si>
  <si>
    <t>20191015130701p</t>
  </si>
  <si>
    <t>20191015130703p</t>
  </si>
  <si>
    <t>20191015130715p</t>
  </si>
  <si>
    <t>20191015130718p</t>
  </si>
  <si>
    <t>20191015130719p</t>
  </si>
  <si>
    <t>Summe von pageAdd</t>
  </si>
  <si>
    <t>20191015130828p</t>
  </si>
  <si>
    <t>20191015130851p</t>
  </si>
  <si>
    <t>20191015130948p</t>
  </si>
  <si>
    <t>20191015130951s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</si>
</sst>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[$-407]mmm/\ yy;@"/>
    <numFmt numFmtId="165" formatCode="#,##0\ &quot;€&quot;"/>
    <numFmt numFmtId="166" formatCode="_-* #,##0\ &quot;€&quot;_-;\-* #,##0\ &quot;€&quot;_-;_-* &quot;-&quot;??\ &quot;€&quot;_-;_-@_-"/>
    <numFmt numFmtId="167" formatCode="d/m/yy\ h:mm;@"/>
  </numFmts>
  <fonts count="11" x14ac:knownFonts="1">
    <font>
      <sz val="11"/>
      <color theme="1"/>
      <name val="PT Serif"/>
      <family val="2"/>
      <scheme val="minor"/>
    </font>
    <font>
      <b/>
      <sz val="24"/>
      <color theme="1"/>
      <name val="Montserrat"/>
      <family val="2"/>
      <scheme val="major"/>
    </font>
    <font>
      <b/>
      <sz val="20"/>
      <color theme="1"/>
      <name val="Montserrat"/>
      <scheme val="major"/>
    </font>
    <font>
      <b/>
      <sz val="18"/>
      <color theme="1"/>
      <name val="Montserrat"/>
      <scheme val="major"/>
    </font>
    <font>
      <b/>
      <sz val="10"/>
      <color theme="0"/>
      <name val="Montserrat"/>
      <scheme val="major"/>
    </font>
    <font>
      <b/>
      <sz val="20"/>
      <color theme="0"/>
      <name val="Consolas"/>
      <family val="3"/>
    </font>
    <font>
      <sz val="8"/>
      <name val="PT Serif"/>
      <family val="2"/>
      <scheme val="minor"/>
    </font>
    <font>
      <sz val="10"/>
      <color theme="1"/>
      <name val="PT Serif"/>
      <family val="2"/>
      <scheme val="minor"/>
    </font>
    <font>
      <b/>
      <sz val="11"/>
      <color theme="1"/>
      <name val="PT Serif"/>
      <family val="1"/>
      <scheme val="minor"/>
    </font>
    <font>
      <b/>
      <sz val="11"/>
      <color theme="0"/>
      <name val="PT Serif"/>
      <family val="2"/>
      <scheme val="minor"/>
    </font>
    <font>
      <b/>
      <sz val="11"/>
      <color theme="1"/>
      <name val="Montserrat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auto="1"/>
      </bottom>
      <diagonal/>
    </border>
  </borders>
  <cellStyleXfs count="10">
    <xf numFmtId="0" fontId="0" fillId="2" borderId="0">
      <alignment horizontal="left" vertical="center" indent="1"/>
    </xf>
    <xf numFmtId="0" fontId="1" fillId="0" borderId="0" applyNumberFormat="0" applyFill="0" applyBorder="0" applyAlignment="0" applyProtection="0"/>
    <xf numFmtId="0" fontId="2" fillId="0" borderId="0" applyNumberFormat="0" applyFill="0" applyAlignment="0" applyProtection="0"/>
    <xf numFmtId="0" fontId="3" fillId="0" borderId="0" applyNumberFormat="0" applyFill="0" applyAlignment="0" applyProtection="0"/>
    <xf numFmtId="0" fontId="4" fillId="3" borderId="1" applyNumberFormat="0" applyProtection="0">
      <alignment horizontal="left" vertical="center" indent="1"/>
    </xf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2" borderId="7" applyNumberFormat="0" applyProtection="0">
      <alignment horizontal="left" vertical="center" indent="1"/>
    </xf>
    <xf numFmtId="0" fontId="10" fillId="4" borderId="0" applyNumberFormat="0" applyAlignment="0" applyProtection="0"/>
    <xf numFmtId="0" fontId="9" fillId="3" borderId="6" applyNumberFormat="0" applyAlignment="0" applyProtection="0"/>
  </cellStyleXfs>
  <cellXfs count="32">
    <xf numFmtId="0" fontId="0" fillId="2" borderId="0" xfId="0">
      <alignment horizontal="left" vertical="center" indent="1"/>
    </xf>
    <xf numFmtId="0" fontId="1" fillId="2" borderId="0" xfId="1" applyFill="1" applyAlignment="1">
      <alignment horizontal="left" vertical="center" indent="1"/>
    </xf>
    <xf numFmtId="0" fontId="2" fillId="2" borderId="0" xfId="2" applyFill="1" applyAlignment="1">
      <alignment horizontal="left" vertical="center" indent="1"/>
    </xf>
    <xf numFmtId="0" fontId="5" fillId="3" borderId="2" xfId="2" applyFont="1" applyFill="1" applyBorder="1" applyAlignment="1">
      <alignment horizontal="center" vertical="center"/>
    </xf>
    <xf numFmtId="0" fontId="5" fillId="3" borderId="3" xfId="2" applyFont="1" applyFill="1" applyBorder="1" applyAlignment="1">
      <alignment horizontal="center" vertical="center"/>
    </xf>
    <xf numFmtId="0" fontId="5" fillId="3" borderId="4" xfId="2" applyFont="1" applyFill="1" applyBorder="1" applyAlignment="1">
      <alignment horizontal="center" vertical="center"/>
    </xf>
    <xf numFmtId="0" fontId="2" fillId="4" borderId="3" xfId="2" applyFill="1" applyBorder="1" applyAlignment="1">
      <alignment horizontal="left" vertical="center" indent="2"/>
    </xf>
    <xf numFmtId="14" fontId="0" fillId="2" borderId="0" xfId="0" applyNumberFormat="1">
      <alignment horizontal="left" vertical="center" indent="1"/>
    </xf>
    <xf numFmtId="164" fontId="4" fillId="3" borderId="1" xfId="4" applyNumberFormat="1">
      <alignment horizontal="left" vertical="center" indent="1"/>
    </xf>
    <xf numFmtId="0" fontId="8" fillId="2" borderId="0" xfId="0" applyFont="1">
      <alignment horizontal="left" vertical="center" indent="1"/>
    </xf>
    <xf numFmtId="0" fontId="3" fillId="2" borderId="0" xfId="3" applyFill="1" applyAlignment="1">
      <alignment horizontal="left" vertical="center" indent="1"/>
    </xf>
    <xf numFmtId="0" fontId="10" fillId="2" borderId="7" xfId="7">
      <alignment horizontal="left" vertical="center" indent="1"/>
    </xf>
    <xf numFmtId="3" fontId="0" fillId="2" borderId="5" xfId="0" applyNumberFormat="1" applyBorder="1" applyAlignment="1">
      <alignment horizontal="right" vertical="center" indent="1"/>
    </xf>
    <xf numFmtId="0" fontId="0" fillId="2" borderId="0" xfId="0" applyAlignment="1">
      <alignment horizontal="right" vertical="center" indent="1"/>
    </xf>
    <xf numFmtId="3" fontId="8" fillId="2" borderId="5" xfId="0" applyNumberFormat="1" applyFont="1" applyBorder="1" applyAlignment="1">
      <alignment horizontal="right" vertical="center" indent="1"/>
    </xf>
    <xf numFmtId="0" fontId="0" fillId="2" borderId="5" xfId="0" applyBorder="1" applyAlignment="1">
      <alignment horizontal="right" vertical="center" indent="1"/>
    </xf>
    <xf numFmtId="166" fontId="0" fillId="2" borderId="5" xfId="5" applyNumberFormat="1" applyFont="1" applyFill="1" applyBorder="1" applyAlignment="1">
      <alignment horizontal="right" vertical="center" indent="1"/>
    </xf>
    <xf numFmtId="166" fontId="0" fillId="2" borderId="0" xfId="5" applyNumberFormat="1" applyFont="1" applyFill="1" applyAlignment="1">
      <alignment horizontal="right" vertical="center" indent="1"/>
    </xf>
    <xf numFmtId="166" fontId="8" fillId="2" borderId="5" xfId="5" applyNumberFormat="1" applyFont="1" applyFill="1" applyBorder="1" applyAlignment="1">
      <alignment horizontal="right" vertical="center" indent="1"/>
    </xf>
    <xf numFmtId="10" fontId="0" fillId="2" borderId="5" xfId="6" applyNumberFormat="1" applyFont="1" applyFill="1" applyBorder="1" applyAlignment="1">
      <alignment horizontal="right" vertical="center" indent="1"/>
    </xf>
    <xf numFmtId="10" fontId="8" fillId="2" borderId="5" xfId="6" applyNumberFormat="1" applyFont="1" applyFill="1" applyBorder="1" applyAlignment="1">
      <alignment horizontal="right" vertical="center" indent="1"/>
    </xf>
    <xf numFmtId="44" fontId="0" fillId="2" borderId="5" xfId="5" applyFont="1" applyFill="1" applyBorder="1" applyAlignment="1">
      <alignment horizontal="right" vertical="center"/>
    </xf>
    <xf numFmtId="44" fontId="0" fillId="2" borderId="0" xfId="5" applyFont="1" applyFill="1" applyAlignment="1">
      <alignment horizontal="right" vertical="center"/>
    </xf>
    <xf numFmtId="44" fontId="8" fillId="2" borderId="5" xfId="5" applyFont="1" applyFill="1" applyBorder="1" applyAlignment="1">
      <alignment horizontal="right" vertical="center"/>
    </xf>
    <xf numFmtId="165" fontId="9" fillId="3" borderId="6" xfId="9" applyNumberFormat="1" applyAlignment="1">
      <alignment horizontal="right" vertical="center" indent="1"/>
    </xf>
    <xf numFmtId="0" fontId="10" fillId="4" borderId="0" xfId="8" applyAlignment="1">
      <alignment horizontal="left" vertical="center" indent="1"/>
    </xf>
    <xf numFmtId="0" fontId="2" fillId="4" borderId="0" xfId="2" applyFill="1" applyAlignment="1">
      <alignment horizontal="left" vertical="center" indent="2"/>
    </xf>
    <xf numFmtId="0" fontId="0" fillId="2" borderId="0" xfId="0" pivotButton="1">
      <alignment horizontal="left" vertical="center" indent="1"/>
    </xf>
    <xf numFmtId="0" fontId="0" fillId="2" borderId="0" xfId="0" applyAlignment="1">
      <alignment horizontal="left" vertical="center"/>
    </xf>
    <xf numFmtId="0" fontId="0" fillId="2" borderId="0" xfId="0" applyNumberFormat="1">
      <alignment horizontal="left" vertical="center" indent="1"/>
    </xf>
    <xf numFmtId="14" fontId="10" fillId="4" borderId="0" xfId="8" applyNumberFormat="1" applyAlignment="1">
      <alignment horizontal="left" vertical="center" indent="1"/>
    </xf>
    <xf numFmtId="167" fontId="0" fillId="2" borderId="0" xfId="0" applyNumberFormat="1">
      <alignment horizontal="left" vertical="center" indent="1"/>
    </xf>
  </cellXfs>
  <cellStyles count="10">
    <cellStyle name="Ausgabe" xfId="8" builtinId="21" customBuiltin="1"/>
    <cellStyle name="Ergebnis" xfId="9" builtinId="25" customBuiltin="1"/>
    <cellStyle name="Prozent" xfId="6" builtinId="5"/>
    <cellStyle name="Standard" xfId="0" builtinId="0" customBuiltin="1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7" builtinId="19" customBuiltin="1"/>
    <cellStyle name="Währung" xfId="5" builtinId="4"/>
  </cellStyles>
  <dxfs count="6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de-DE" sz="2000" b="1">
                <a:latin typeface="+mj-lt"/>
              </a:rPr>
              <a:t>VERHALTEN BASKET SIZE VS CONVERSION</a:t>
            </a:r>
            <a:r>
              <a:rPr lang="de-DE" sz="2000" b="1" baseline="0">
                <a:latin typeface="+mj-lt"/>
              </a:rPr>
              <a:t> RATE</a:t>
            </a:r>
            <a:endParaRPr lang="de-DE" sz="2000" b="1">
              <a:latin typeface="+mj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tabelle!$B$16</c:f>
              <c:strCache>
                <c:ptCount val="1"/>
                <c:pt idx="0">
                  <c:v>CONVERSION RATE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tabelle!$D$6:$O$6</c:f>
              <c:numCache>
                <c:formatCode>[$-407]mmm/\ yy;@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tabelle!$D$16:$O$16</c:f>
              <c:numCache>
                <c:formatCode>0.00%</c:formatCode>
                <c:ptCount val="12"/>
                <c:pt idx="0">
                  <c:v>3.2557211945954033E-2</c:v>
                </c:pt>
                <c:pt idx="1">
                  <c:v>1.8319212273872225E-2</c:v>
                </c:pt>
                <c:pt idx="2">
                  <c:v>4.8766094420600856E-2</c:v>
                </c:pt>
                <c:pt idx="3">
                  <c:v>4.3167420814479641E-2</c:v>
                </c:pt>
                <c:pt idx="4">
                  <c:v>8.4450759257614777E-2</c:v>
                </c:pt>
                <c:pt idx="5">
                  <c:v>4.6125227243901411E-2</c:v>
                </c:pt>
                <c:pt idx="6">
                  <c:v>3.3707183995150047E-2</c:v>
                </c:pt>
                <c:pt idx="7">
                  <c:v>1.6610732567205667E-2</c:v>
                </c:pt>
                <c:pt idx="8">
                  <c:v>8.998988877654197E-3</c:v>
                </c:pt>
                <c:pt idx="9">
                  <c:v>2.9720791996316297E-2</c:v>
                </c:pt>
                <c:pt idx="10">
                  <c:v>5.7356315077357493E-2</c:v>
                </c:pt>
                <c:pt idx="11">
                  <c:v>1.3112611631452843E-2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FD-4EEC-B4E0-2135D4D89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-27"/>
        <c:axId val="421185312"/>
        <c:axId val="421187280"/>
      </c:barChart>
      <c:lineChart>
        <c:grouping val="stacked"/>
        <c:varyColors val="0"/>
        <c:ser>
          <c:idx val="1"/>
          <c:order val="1"/>
          <c:tx>
            <c:strRef>
              <c:f>tabelle!$B$17</c:f>
              <c:strCache>
                <c:ptCount val="1"/>
                <c:pt idx="0">
                  <c:v>AVERAGE BASKET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tabelle!$D$6:$O$6</c:f>
              <c:numCache>
                <c:formatCode>[$-407]mmm/\ yy;@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tabelle!$D$17:$O$17</c:f>
              <c:numCache>
                <c:formatCode>_("€"* #,##0.00_);_("€"* \(#,##0.00\);_("€"* "-"??_);_(@_)</c:formatCode>
                <c:ptCount val="12"/>
                <c:pt idx="0">
                  <c:v>63</c:v>
                </c:pt>
                <c:pt idx="1">
                  <c:v>61</c:v>
                </c:pt>
                <c:pt idx="2">
                  <c:v>61</c:v>
                </c:pt>
                <c:pt idx="3">
                  <c:v>62</c:v>
                </c:pt>
                <c:pt idx="4">
                  <c:v>66</c:v>
                </c:pt>
                <c:pt idx="5">
                  <c:v>62</c:v>
                </c:pt>
                <c:pt idx="6">
                  <c:v>60</c:v>
                </c:pt>
                <c:pt idx="7">
                  <c:v>74</c:v>
                </c:pt>
                <c:pt idx="8">
                  <c:v>70</c:v>
                </c:pt>
                <c:pt idx="9">
                  <c:v>63</c:v>
                </c:pt>
                <c:pt idx="10">
                  <c:v>69</c:v>
                </c:pt>
                <c:pt idx="11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FD-4EEC-B4E0-2135D4D89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97120"/>
        <c:axId val="421196136"/>
      </c:lineChart>
      <c:dateAx>
        <c:axId val="421185312"/>
        <c:scaling>
          <c:orientation val="minMax"/>
        </c:scaling>
        <c:delete val="0"/>
        <c:axPos val="b"/>
        <c:numFmt formatCode="[$-407]mmm/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187280"/>
        <c:crosses val="autoZero"/>
        <c:auto val="1"/>
        <c:lblOffset val="100"/>
        <c:baseTimeUnit val="months"/>
      </c:dateAx>
      <c:valAx>
        <c:axId val="4211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185312"/>
        <c:crosses val="autoZero"/>
        <c:crossBetween val="between"/>
      </c:valAx>
      <c:valAx>
        <c:axId val="421196136"/>
        <c:scaling>
          <c:orientation val="minMax"/>
        </c:scaling>
        <c:delete val="0"/>
        <c:axPos val="r"/>
        <c:numFmt formatCode="_(&quot;€&quot;* #,##0_);_(&quot;€&quot;* \(#,##0\);_(&quot;€&quot;* &quot;-&quot;_);_(@_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197120"/>
        <c:crosses val="max"/>
        <c:crossBetween val="between"/>
      </c:valAx>
      <c:dateAx>
        <c:axId val="421197120"/>
        <c:scaling>
          <c:orientation val="minMax"/>
        </c:scaling>
        <c:delete val="1"/>
        <c:axPos val="b"/>
        <c:numFmt formatCode="[$-407]mmm/\ yy;@" sourceLinked="1"/>
        <c:majorTickMark val="out"/>
        <c:minorTickMark val="none"/>
        <c:tickLblPos val="nextTo"/>
        <c:crossAx val="421196136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786F1D-D98B-4D96-966E-D525D47F97D7}">
  <sheetPr codeName="Diagramm1"/>
  <sheetViews>
    <sheetView zoomScale="134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350520</xdr:colOff>
      <xdr:row>2</xdr:row>
      <xdr:rowOff>457201</xdr:rowOff>
    </xdr:from>
    <xdr:to>
      <xdr:col>8</xdr:col>
      <xdr:colOff>140444</xdr:colOff>
      <xdr:row>3</xdr:row>
      <xdr:rowOff>371327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31CB2E9-8A6E-4BF8-8FBA-1D09DAC55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17920" y="1226821"/>
          <a:ext cx="3203684" cy="4856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196645</xdr:colOff>
      <xdr:row>0</xdr:row>
      <xdr:rowOff>65549</xdr:rowOff>
    </xdr:from>
    <xdr:to>
      <xdr:col>16</xdr:col>
      <xdr:colOff>1163484</xdr:colOff>
      <xdr:row>0</xdr:row>
      <xdr:rowOff>522608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F48789E-9243-4B81-A8A3-1CB643875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6129" y="65549"/>
          <a:ext cx="3015226" cy="4570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412" cy="6006353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01EEF8D-920A-4409-A0E2-568DC93D28B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ph Kleine" refreshedDate="43753.547253819444" createdVersion="6" refreshedVersion="6" minRefreshableVersion="3" recordCount="1124" xr:uid="{83D74D61-7C71-43F3-A1C2-4985E6440615}">
  <cacheSource type="worksheet">
    <worksheetSource ref="A1:L1048576" sheet="_wbTagDB"/>
  </cacheSource>
  <cacheFields count="12">
    <cacheField name="ID" numFmtId="0">
      <sharedItems containsBlank="1"/>
    </cacheField>
    <cacheField name="TimeStamp" numFmtId="14">
      <sharedItems containsNonDate="0" containsDate="1" containsString="0" containsBlank="1" minDate="2019-08-01T13:14:15" maxDate="2019-10-30T13:14:15" count="296">
        <d v="2019-08-01T13:14:15"/>
        <d v="2019-08-02T13:14:15"/>
        <d v="2019-08-03T13:14:15"/>
        <d v="2019-08-04T13:14:15"/>
        <d v="2019-08-05T13:14:15"/>
        <d v="2019-08-06T13:14:15"/>
        <d v="2019-08-07T13:14:15"/>
        <d v="2019-08-08T13:14:15"/>
        <d v="2019-08-09T13:14:15"/>
        <d v="2019-08-10T13:14:15"/>
        <d v="2019-08-11T13:14:15"/>
        <d v="2019-08-12T13:14:15"/>
        <d v="2019-08-13T13:14:15"/>
        <d v="2019-08-14T13:14:15"/>
        <d v="2019-08-15T13:14:15"/>
        <d v="2019-08-16T13:14:15"/>
        <d v="2019-08-17T13:14:15"/>
        <d v="2019-08-18T13:14:15"/>
        <d v="2019-08-19T13:14:15"/>
        <d v="2019-08-20T13:14:15"/>
        <d v="2019-08-21T13:14:15"/>
        <d v="2019-08-22T13:14:15"/>
        <d v="2019-08-23T13:14:15"/>
        <d v="2019-08-24T13:14:15"/>
        <d v="2019-08-25T13:14:15"/>
        <d v="2019-08-26T13:14:15"/>
        <d v="2019-08-27T13:14:15"/>
        <d v="2019-08-28T13:14:15"/>
        <d v="2019-08-29T13:14:15"/>
        <d v="2019-08-30T13:14:15"/>
        <d v="2019-09-01T13:14:15"/>
        <d v="2019-09-02T13:14:15"/>
        <d v="2019-09-03T13:14:15"/>
        <d v="2019-09-04T13:14:15"/>
        <d v="2019-09-05T13:14:15"/>
        <d v="2019-09-06T13:14:15"/>
        <d v="2019-09-07T13:14:15"/>
        <d v="2019-09-08T13:14:15"/>
        <d v="2019-09-09T13:14:15"/>
        <d v="2019-09-10T13:14:15"/>
        <d v="2019-09-11T13:14:15"/>
        <d v="2019-09-12T13:14:15"/>
        <d v="2019-09-13T11:02:54"/>
        <d v="2019-09-13T11:31:10"/>
        <d v="2019-09-13T11:32:17"/>
        <d v="2019-09-13T11:32:19"/>
        <d v="2019-09-13T11:32:20"/>
        <d v="2019-09-13T11:33:08"/>
        <d v="2019-09-13T11:33:10"/>
        <d v="2019-09-13T11:33:11"/>
        <d v="2019-09-13T11:33:30"/>
        <d v="2019-09-13T11:33:32"/>
        <d v="2019-09-13T11:48:10"/>
        <d v="2019-09-13T11:48:12"/>
        <d v="2019-09-13T11:48:13"/>
        <d v="2019-09-13T11:50:00"/>
        <d v="2019-09-13T11:50:01"/>
        <d v="2019-09-13T11:50:29"/>
        <d v="2019-09-13T11:50:31"/>
        <d v="2019-09-13T11:50:33"/>
        <d v="2019-09-13T11:50:34"/>
        <d v="2019-09-13T11:50:38"/>
        <d v="2019-09-13T11:51:32"/>
        <d v="2019-09-13T11:51:34"/>
        <d v="2019-09-13T11:51:42"/>
        <d v="2019-09-13T11:51:44"/>
        <d v="2019-09-13T11:51:48"/>
        <d v="2019-09-13T11:52:05"/>
        <d v="2019-09-13T11:52:51"/>
        <d v="2019-09-13T11:53:53"/>
        <d v="2019-09-13T11:53:54"/>
        <d v="2019-09-13T11:54:25"/>
        <d v="2019-09-13T11:55:02"/>
        <d v="2019-09-13T11:55:10"/>
        <d v="2019-09-13T11:55:20"/>
        <d v="2019-09-13T11:55:22"/>
        <d v="2019-09-13T11:55:37"/>
        <d v="2019-09-13T11:57:24"/>
        <d v="2019-09-13T11:58:21"/>
        <d v="2019-09-13T11:58:28"/>
        <d v="2019-09-13T12:01:30"/>
        <d v="2019-09-13T13:14:15"/>
        <d v="2019-09-14T13:14:15"/>
        <d v="2019-09-15T13:14:15"/>
        <d v="2019-09-16T13:14:15"/>
        <d v="2019-09-17T13:14:15"/>
        <d v="2019-09-17T13:42:51"/>
        <d v="2019-09-17T13:45:17"/>
        <d v="2019-09-17T13:45:47"/>
        <d v="2019-09-17T13:46:06"/>
        <d v="2019-09-17T13:46:09"/>
        <d v="2019-09-17T13:46:11"/>
        <d v="2019-09-17T13:46:26"/>
        <d v="2019-09-17T13:46:27"/>
        <d v="2019-09-17T13:46:30"/>
        <d v="2019-09-17T13:46:42"/>
        <d v="2019-09-17T13:47:04"/>
        <d v="2019-09-17T13:52:51"/>
        <d v="2019-09-17T13:53:11"/>
        <d v="2019-09-17T13:54:37"/>
        <d v="2019-09-17T13:56:16"/>
        <d v="2019-09-17T14:00:32"/>
        <d v="2019-09-17T14:00:33"/>
        <d v="2019-09-17T14:00:39"/>
        <d v="2019-09-17T14:00:42"/>
        <d v="2019-09-17T14:22:18"/>
        <d v="2019-09-18T13:14:15"/>
        <d v="2019-09-19T13:14:15"/>
        <d v="2019-09-19T19:02:19"/>
        <d v="2019-09-19T19:02:21"/>
        <d v="2019-09-20T10:32:30"/>
        <d v="2019-09-20T10:33:31"/>
        <d v="2019-09-20T10:34:10"/>
        <d v="2019-09-20T10:36:49"/>
        <d v="2019-09-20T10:38:24"/>
        <d v="2019-09-20T10:38:54"/>
        <d v="2019-09-20T10:38:56"/>
        <d v="2019-09-20T10:41:47"/>
        <d v="2019-09-20T10:42:04"/>
        <d v="2019-09-20T10:43:20"/>
        <d v="2019-09-20T10:43:22"/>
        <d v="2019-09-20T10:43:23"/>
        <d v="2019-09-20T10:43:31"/>
        <d v="2019-09-20T10:43:32"/>
        <d v="2019-09-20T10:43:34"/>
        <d v="2019-09-20T10:44:24"/>
        <d v="2019-09-20T10:44:45"/>
        <d v="2019-09-20T10:46:02"/>
        <d v="2019-09-20T10:46:22"/>
        <d v="2019-09-20T10:46:25"/>
        <d v="2019-09-20T10:46:27"/>
        <d v="2019-09-20T10:59:18"/>
        <d v="2019-09-20T11:00:44"/>
        <d v="2019-09-20T11:02:15"/>
        <d v="2019-09-20T11:02:28"/>
        <d v="2019-09-20T11:03:53"/>
        <d v="2019-09-20T11:36:45"/>
        <d v="2019-09-20T11:45:37"/>
        <d v="2019-09-20T11:48:48"/>
        <d v="2019-09-20T11:48:52"/>
        <d v="2019-09-20T11:48:54"/>
        <d v="2019-09-20T11:48:57"/>
        <d v="2019-09-20T11:50:35"/>
        <d v="2019-09-20T11:51:14"/>
        <d v="2019-09-20T11:52:05"/>
        <d v="2019-09-20T11:53:03"/>
        <d v="2019-09-20T11:54:44"/>
        <d v="2019-09-20T11:54:50"/>
        <d v="2019-09-20T11:54:52"/>
        <d v="2019-09-20T11:54:54"/>
        <d v="2019-09-20T11:55:12"/>
        <d v="2019-09-20T11:55:33"/>
        <d v="2019-09-20T12:02:10"/>
        <d v="2019-09-20T12:03:45"/>
        <d v="2019-09-20T12:04:04"/>
        <d v="2019-09-20T12:04:34"/>
        <d v="2019-09-20T13:14:15"/>
        <d v="2019-09-20T20:15:05"/>
        <d v="2019-09-20T20:15:14"/>
        <d v="2019-09-20T20:15:15"/>
        <d v="2019-09-20T20:15:16"/>
        <d v="2019-09-20T20:15:29"/>
        <d v="2019-09-20T20:15:32"/>
        <d v="2019-09-20T20:15:33"/>
        <d v="2019-09-20T20:15:35"/>
        <d v="2019-09-20T20:15:37"/>
        <d v="2019-09-20T20:15:50"/>
        <d v="2019-09-20T20:15:51"/>
        <d v="2019-09-20T20:15:52"/>
        <d v="2019-09-20T20:15:54"/>
        <d v="2019-09-20T20:16:01"/>
        <d v="2019-09-20T20:16:04"/>
        <d v="2019-09-20T20:16:06"/>
        <d v="2019-09-20T20:16:20"/>
        <d v="2019-09-20T20:20:36"/>
        <d v="2019-09-20T20:23:01"/>
        <d v="2019-09-20T20:24:44"/>
        <d v="2019-09-20T20:29:56"/>
        <d v="2019-09-20T20:31:00"/>
        <d v="2019-09-20T20:31:12"/>
        <d v="2019-09-20T20:31:56"/>
        <d v="2019-09-20T20:32:43"/>
        <d v="2019-09-20T20:32:46"/>
        <d v="2019-09-20T20:34:16"/>
        <d v="2019-09-20T20:34:19"/>
        <d v="2019-09-20T20:35:32"/>
        <d v="2019-09-20T20:36:15"/>
        <d v="2019-09-20T20:36:18"/>
        <d v="2019-09-20T20:36:26"/>
        <d v="2019-09-20T20:39:26"/>
        <d v="2019-09-20T20:40:11"/>
        <d v="2019-09-20T20:40:43"/>
        <d v="2019-09-20T20:41:31"/>
        <d v="2019-09-20T20:42:10"/>
        <d v="2019-09-20T20:42:13"/>
        <d v="2019-09-20T20:42:15"/>
        <d v="2019-09-21T13:14:15"/>
        <d v="2019-09-22T13:14:15"/>
        <d v="2019-09-23T13:14:15"/>
        <d v="2019-09-23T20:17:39"/>
        <d v="2019-09-24T13:14:15"/>
        <d v="2019-09-25T13:14:15"/>
        <d v="2019-09-26T13:14:15"/>
        <d v="2019-09-27T13:14:15"/>
        <d v="2019-09-28T13:14:15"/>
        <d v="2019-09-29T13:14:15"/>
        <d v="2019-09-30T13:14:15"/>
        <d v="2019-10-01T13:14:15"/>
        <d v="2019-10-02T13:14:15"/>
        <d v="2019-10-03T13:14:15"/>
        <d v="2019-10-04T13:14:15"/>
        <d v="2019-10-05T13:14:15"/>
        <d v="2019-10-06T13:14:15"/>
        <d v="2019-10-07T13:14:15"/>
        <d v="2019-10-08T13:14:15"/>
        <d v="2019-10-09T13:14:15"/>
        <d v="2019-10-10T13:14:15"/>
        <d v="2019-10-11T13:14:15"/>
        <d v="2019-10-12T13:14:15"/>
        <d v="2019-10-13T13:14:15"/>
        <d v="2019-10-14T11:52:36"/>
        <d v="2019-10-14T11:53:10"/>
        <d v="2019-10-14T11:54:20"/>
        <d v="2019-10-14T11:54:22"/>
        <d v="2019-10-14T11:54:23"/>
        <d v="2019-10-14T11:54:30"/>
        <d v="2019-10-14T11:54:32"/>
        <d v="2019-10-14T11:55:02"/>
        <d v="2019-10-14T11:55:03"/>
        <d v="2019-10-14T11:55:09"/>
        <d v="2019-10-14T11:55:10"/>
        <d v="2019-10-14T11:55:17"/>
        <d v="2019-10-14T11:55:18"/>
        <d v="2019-10-14T11:55:21"/>
        <d v="2019-10-14T11:55:22"/>
        <d v="2019-10-14T11:55:24"/>
        <d v="2019-10-14T11:55:26"/>
        <d v="2019-10-14T12:06:48"/>
        <d v="2019-10-14T12:06:52"/>
        <d v="2019-10-14T12:48:56"/>
        <d v="2019-10-14T12:50:02"/>
        <d v="2019-10-14T12:50:03"/>
        <d v="2019-10-14T12:50:04"/>
        <d v="2019-10-14T12:50:26"/>
        <d v="2019-10-14T12:58:16"/>
        <d v="2019-10-14T12:58:43"/>
        <d v="2019-10-14T12:58:51"/>
        <d v="2019-10-14T13:14:15"/>
        <d v="2019-10-15T13:14:15"/>
        <d v="2019-10-16T13:14:15"/>
        <d v="2019-10-17T13:14:15"/>
        <d v="2019-10-18T13:14:15"/>
        <d v="2019-10-19T13:14:15"/>
        <d v="2019-10-20T13:14:15"/>
        <d v="2019-10-21T13:14:15"/>
        <d v="2019-10-22T13:14:15"/>
        <d v="2019-10-23T13:14:15"/>
        <d v="2019-10-24T13:14:15"/>
        <d v="2019-10-25T13:14:15"/>
        <d v="2019-10-26T13:14:15"/>
        <d v="2019-10-27T13:14:15"/>
        <d v="2019-10-28T13:14:15"/>
        <d v="2019-10-29T13:14:15"/>
        <d v="2019-10-30T13:14:15"/>
        <d v="2019-10-14T13:00:00"/>
        <d v="2019-10-14T13:00:03"/>
        <d v="2019-10-14T13:00:07"/>
        <d v="2019-10-14T13:23:22"/>
        <d v="2019-10-14T13:29:30"/>
        <d v="2019-10-14T13:41:34"/>
        <d v="2019-10-14T13:42:40"/>
        <d v="2019-10-14T13:43:38"/>
        <d v="2019-10-14T13:43:43"/>
        <d v="2019-10-14T13:43:50"/>
        <d v="2019-10-14T13:43:55"/>
        <d v="2019-10-14T13:44:02"/>
        <d v="2019-10-14T13:44:13"/>
        <d v="2019-10-14T14:02:02"/>
        <d v="2019-10-14T14:02:20"/>
        <d v="2019-10-14T14:02:39"/>
        <d v="2019-10-14T14:03:06"/>
        <d v="2019-10-14T14:04:01"/>
        <d v="2019-10-14T14:04:03"/>
        <d v="2019-10-14T14:04:06"/>
        <d v="2019-10-14T19:04:18"/>
        <d v="2019-10-15T13:03:13"/>
        <d v="2019-10-15T13:05:00"/>
        <d v="2019-10-15T13:05:22"/>
        <d v="2019-10-15T13:05:35"/>
        <d v="2019-10-15T13:06:08"/>
        <d v="2019-10-15T13:07:01"/>
        <d v="2019-10-15T13:07:03"/>
        <d v="2019-10-15T13:07:15"/>
        <d v="2019-10-15T13:07:18"/>
        <d v="2019-10-15T13:07:19"/>
        <m/>
      </sharedItems>
    </cacheField>
    <cacheField name="EventType" numFmtId="0">
      <sharedItems containsBlank="1"/>
    </cacheField>
    <cacheField name="URL" numFmtId="0">
      <sharedItems containsBlank="1" count="16">
        <s v="/tabelle2"/>
        <s v="/tabellle"/>
        <s v="/tabelle1"/>
        <s v="/graph"/>
        <s v="/datenbank"/>
        <s v="/inhalt"/>
        <s v="/_datenbank"/>
        <s v="/tabelle"/>
        <s v="/_pageviews"/>
        <s v="/Tabelle3"/>
        <s v="/_user"/>
        <s v="/_allmetrics"/>
        <s v="/_wbTagDB"/>
        <s v="/Makro1"/>
        <s v="/Makro2"/>
        <m/>
      </sharedItems>
    </cacheField>
    <cacheField name="Count" numFmtId="0">
      <sharedItems containsString="0" containsBlank="1" containsNumber="1" containsInteger="1" minValue="1" maxValue="1"/>
    </cacheField>
    <cacheField name="User" numFmtId="0">
      <sharedItems containsBlank="1" count="9">
        <s v="Bernd Stromberg"/>
        <s v="Dwight Schrute"/>
        <s v="Jim Halpert"/>
        <s v="Michael Scott"/>
        <s v="Ulf Steinke"/>
        <s v="Berthold Heisterkamp"/>
        <s v="internetzkidz.de"/>
        <s v="Christoph Kleine"/>
        <m/>
      </sharedItems>
    </cacheField>
    <cacheField name="OS" numFmtId="0">
      <sharedItems containsBlank="1"/>
    </cacheField>
    <cacheField name="pageviews" numFmtId="0">
      <sharedItems containsString="0" containsBlank="1" containsNumber="1" containsInteger="1" minValue="0" maxValue="1"/>
    </cacheField>
    <cacheField name="events" numFmtId="0">
      <sharedItems containsString="0" containsBlank="1" containsNumber="1" containsInteger="1" minValue="0" maxValue="1"/>
    </cacheField>
    <cacheField name="opens" numFmtId="0">
      <sharedItems containsString="0" containsBlank="1" containsNumber="1" containsInteger="1" minValue="0" maxValue="1"/>
    </cacheField>
    <cacheField name="saves" numFmtId="0">
      <sharedItems containsString="0" containsBlank="1" containsNumber="1" containsInteger="1" minValue="0" maxValue="1"/>
    </cacheField>
    <cacheField name="pageAdd" numFmtId="0">
      <sharedItems containsString="0" containsBlank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4">
  <r>
    <s v="20190801131415e"/>
    <x v="0"/>
    <s v="event"/>
    <x v="0"/>
    <n v="1"/>
    <x v="0"/>
    <s v="Windows 8 Professional"/>
    <n v="0"/>
    <n v="1"/>
    <n v="0"/>
    <n v="0"/>
    <n v="0"/>
  </r>
  <r>
    <s v="20190801131415p"/>
    <x v="0"/>
    <s v="pageview"/>
    <x v="1"/>
    <n v="1"/>
    <x v="0"/>
    <s v="Windows 8 Professional"/>
    <n v="1"/>
    <n v="0"/>
    <n v="0"/>
    <n v="0"/>
    <n v="0"/>
  </r>
  <r>
    <s v="20190801131415o"/>
    <x v="0"/>
    <s v="open"/>
    <x v="0"/>
    <n v="1"/>
    <x v="0"/>
    <s v="Windows 8 Professional"/>
    <n v="0"/>
    <n v="0"/>
    <n v="1"/>
    <n v="0"/>
    <n v="0"/>
  </r>
  <r>
    <s v="20190801131415e"/>
    <x v="0"/>
    <s v="event"/>
    <x v="2"/>
    <n v="1"/>
    <x v="0"/>
    <s v="Windows 8 Professional"/>
    <n v="0"/>
    <n v="1"/>
    <n v="0"/>
    <n v="0"/>
    <n v="0"/>
  </r>
  <r>
    <s v="20190801131415p"/>
    <x v="0"/>
    <s v="pageview"/>
    <x v="1"/>
    <n v="1"/>
    <x v="1"/>
    <s v="Windows XP (32-Bit)"/>
    <n v="1"/>
    <n v="0"/>
    <n v="0"/>
    <n v="0"/>
    <n v="0"/>
  </r>
  <r>
    <s v="20190801131415p"/>
    <x v="0"/>
    <s v="pageview"/>
    <x v="3"/>
    <n v="1"/>
    <x v="1"/>
    <s v="Windows XP (32-Bit)"/>
    <n v="1"/>
    <n v="0"/>
    <n v="0"/>
    <n v="0"/>
    <n v="0"/>
  </r>
  <r>
    <s v="20190801131415e"/>
    <x v="0"/>
    <s v="event"/>
    <x v="0"/>
    <n v="1"/>
    <x v="1"/>
    <s v="Windows XP (32-Bit)"/>
    <n v="0"/>
    <n v="1"/>
    <n v="0"/>
    <n v="0"/>
    <n v="0"/>
  </r>
  <r>
    <s v="20190801131415p"/>
    <x v="0"/>
    <s v="pageview"/>
    <x v="0"/>
    <n v="1"/>
    <x v="1"/>
    <s v="Windows XP (32-Bit)"/>
    <n v="1"/>
    <n v="0"/>
    <n v="0"/>
    <n v="0"/>
    <n v="0"/>
  </r>
  <r>
    <s v="20190801131415e"/>
    <x v="0"/>
    <s v="event"/>
    <x v="0"/>
    <n v="1"/>
    <x v="1"/>
    <s v="Windows XP (32-Bit)"/>
    <n v="0"/>
    <n v="1"/>
    <n v="0"/>
    <n v="0"/>
    <n v="0"/>
  </r>
  <r>
    <s v="20190801131415p"/>
    <x v="0"/>
    <s v="pageview"/>
    <x v="4"/>
    <n v="1"/>
    <x v="2"/>
    <s v="Windows XP (32-Bit)"/>
    <n v="1"/>
    <n v="0"/>
    <n v="0"/>
    <n v="0"/>
    <n v="0"/>
  </r>
  <r>
    <s v="20190801131415p"/>
    <x v="0"/>
    <s v="pageview"/>
    <x v="5"/>
    <n v="1"/>
    <x v="3"/>
    <s v="Windows XP (32-Bit)"/>
    <n v="1"/>
    <n v="0"/>
    <n v="0"/>
    <n v="0"/>
    <n v="0"/>
  </r>
  <r>
    <s v="20190801131415e"/>
    <x v="0"/>
    <s v="event"/>
    <x v="0"/>
    <n v="1"/>
    <x v="3"/>
    <s v="Windows XP (32-Bit)"/>
    <n v="0"/>
    <n v="1"/>
    <n v="0"/>
    <n v="0"/>
    <n v="0"/>
  </r>
  <r>
    <s v="20190801131415s"/>
    <x v="0"/>
    <s v="save"/>
    <x v="4"/>
    <n v="1"/>
    <x v="4"/>
    <s v="Windows 8 Professional"/>
    <n v="0"/>
    <n v="0"/>
    <n v="0"/>
    <n v="1"/>
    <n v="0"/>
  </r>
  <r>
    <s v="20190802131415e"/>
    <x v="1"/>
    <s v="event"/>
    <x v="0"/>
    <n v="1"/>
    <x v="1"/>
    <s v="Windows XP (32-Bit)"/>
    <n v="0"/>
    <n v="1"/>
    <n v="0"/>
    <n v="0"/>
    <n v="0"/>
  </r>
  <r>
    <s v="20190802131415p"/>
    <x v="1"/>
    <s v="pageview"/>
    <x v="0"/>
    <n v="1"/>
    <x v="2"/>
    <s v="Windows XP (32-Bit)"/>
    <n v="1"/>
    <n v="0"/>
    <n v="0"/>
    <n v="0"/>
    <n v="0"/>
  </r>
  <r>
    <s v="20190802131415o"/>
    <x v="1"/>
    <s v="open"/>
    <x v="1"/>
    <n v="1"/>
    <x v="2"/>
    <s v="Windows XP (32-Bit)"/>
    <n v="0"/>
    <n v="0"/>
    <n v="1"/>
    <n v="0"/>
    <n v="0"/>
  </r>
  <r>
    <s v="20190802131415p"/>
    <x v="1"/>
    <s v="pageview"/>
    <x v="4"/>
    <n v="1"/>
    <x v="4"/>
    <s v="Windows 8 Professional"/>
    <n v="1"/>
    <n v="0"/>
    <n v="0"/>
    <n v="0"/>
    <n v="0"/>
  </r>
  <r>
    <s v="20190802131415e"/>
    <x v="1"/>
    <s v="event"/>
    <x v="5"/>
    <n v="1"/>
    <x v="4"/>
    <s v="Windows 8 Professional"/>
    <n v="0"/>
    <n v="1"/>
    <n v="0"/>
    <n v="0"/>
    <n v="0"/>
  </r>
  <r>
    <s v="20190803131415o"/>
    <x v="2"/>
    <s v="open"/>
    <x v="3"/>
    <n v="1"/>
    <x v="0"/>
    <s v="Windows 8 Professional"/>
    <n v="0"/>
    <n v="0"/>
    <n v="1"/>
    <n v="0"/>
    <n v="0"/>
  </r>
  <r>
    <s v="20190803131415p"/>
    <x v="2"/>
    <s v="pageview"/>
    <x v="3"/>
    <n v="1"/>
    <x v="0"/>
    <s v="Windows 8 Professional"/>
    <n v="1"/>
    <n v="0"/>
    <n v="0"/>
    <n v="0"/>
    <n v="0"/>
  </r>
  <r>
    <s v="20190803131415e"/>
    <x v="2"/>
    <s v="event"/>
    <x v="4"/>
    <n v="1"/>
    <x v="5"/>
    <s v="Windows 8 Professional"/>
    <n v="0"/>
    <n v="1"/>
    <n v="0"/>
    <n v="0"/>
    <n v="0"/>
  </r>
  <r>
    <s v="20190803131415p"/>
    <x v="2"/>
    <s v="pageview"/>
    <x v="0"/>
    <n v="1"/>
    <x v="1"/>
    <s v="Windows XP (32-Bit)"/>
    <n v="1"/>
    <n v="0"/>
    <n v="0"/>
    <n v="0"/>
    <n v="0"/>
  </r>
  <r>
    <s v="20190803131415e"/>
    <x v="2"/>
    <s v="event"/>
    <x v="0"/>
    <n v="1"/>
    <x v="1"/>
    <s v="Windows XP (32-Bit)"/>
    <n v="0"/>
    <n v="1"/>
    <n v="0"/>
    <n v="0"/>
    <n v="0"/>
  </r>
  <r>
    <s v="20190803131415p"/>
    <x v="2"/>
    <s v="pageview"/>
    <x v="0"/>
    <n v="1"/>
    <x v="1"/>
    <s v="Windows XP (32-Bit)"/>
    <n v="1"/>
    <n v="0"/>
    <n v="0"/>
    <n v="0"/>
    <n v="0"/>
  </r>
  <r>
    <s v="20190803131415p"/>
    <x v="2"/>
    <s v="pageview"/>
    <x v="4"/>
    <n v="1"/>
    <x v="1"/>
    <s v="Windows XP (32-Bit)"/>
    <n v="1"/>
    <n v="0"/>
    <n v="0"/>
    <n v="0"/>
    <n v="0"/>
  </r>
  <r>
    <s v="20190803131415o"/>
    <x v="2"/>
    <s v="open"/>
    <x v="5"/>
    <n v="1"/>
    <x v="1"/>
    <s v="Windows XP (32-Bit)"/>
    <n v="0"/>
    <n v="0"/>
    <n v="1"/>
    <n v="0"/>
    <n v="0"/>
  </r>
  <r>
    <s v="20190803131415s"/>
    <x v="2"/>
    <s v="save"/>
    <x v="0"/>
    <n v="1"/>
    <x v="1"/>
    <s v="Windows XP (32-Bit)"/>
    <n v="0"/>
    <n v="0"/>
    <n v="0"/>
    <n v="1"/>
    <n v="0"/>
  </r>
  <r>
    <s v="20190803131415p"/>
    <x v="2"/>
    <s v="pageview"/>
    <x v="5"/>
    <n v="1"/>
    <x v="2"/>
    <s v="Windows XP (32-Bit)"/>
    <n v="1"/>
    <n v="0"/>
    <n v="0"/>
    <n v="0"/>
    <n v="0"/>
  </r>
  <r>
    <s v="20190803131415e"/>
    <x v="2"/>
    <s v="event"/>
    <x v="1"/>
    <n v="1"/>
    <x v="2"/>
    <s v="Windows XP (32-Bit)"/>
    <n v="0"/>
    <n v="1"/>
    <n v="0"/>
    <n v="0"/>
    <n v="0"/>
  </r>
  <r>
    <s v="20190803131415p"/>
    <x v="2"/>
    <s v="pageview"/>
    <x v="3"/>
    <n v="1"/>
    <x v="4"/>
    <s v="Windows 8 Professional"/>
    <n v="1"/>
    <n v="0"/>
    <n v="0"/>
    <n v="0"/>
    <n v="0"/>
  </r>
  <r>
    <s v="20190803131415p"/>
    <x v="2"/>
    <s v="pageview"/>
    <x v="3"/>
    <n v="1"/>
    <x v="4"/>
    <s v="Windows 8 Professional"/>
    <n v="1"/>
    <n v="0"/>
    <n v="0"/>
    <n v="0"/>
    <n v="0"/>
  </r>
  <r>
    <s v="20190803131415e"/>
    <x v="2"/>
    <s v="event"/>
    <x v="5"/>
    <n v="1"/>
    <x v="4"/>
    <s v="Windows 8 Professional"/>
    <n v="0"/>
    <n v="1"/>
    <n v="0"/>
    <n v="0"/>
    <n v="0"/>
  </r>
  <r>
    <s v="20190804131415p"/>
    <x v="3"/>
    <s v="pageview"/>
    <x v="3"/>
    <n v="1"/>
    <x v="0"/>
    <s v="Windows 8 Professional"/>
    <n v="1"/>
    <n v="0"/>
    <n v="0"/>
    <n v="0"/>
    <n v="0"/>
  </r>
  <r>
    <s v="20190804131415p"/>
    <x v="3"/>
    <s v="pageview"/>
    <x v="4"/>
    <n v="1"/>
    <x v="0"/>
    <s v="Windows 8 Professional"/>
    <n v="1"/>
    <n v="0"/>
    <n v="0"/>
    <n v="0"/>
    <n v="0"/>
  </r>
  <r>
    <s v="20190804131415p"/>
    <x v="3"/>
    <s v="pageview"/>
    <x v="4"/>
    <n v="1"/>
    <x v="0"/>
    <s v="Windows 8 Professional"/>
    <n v="1"/>
    <n v="0"/>
    <n v="0"/>
    <n v="0"/>
    <n v="0"/>
  </r>
  <r>
    <s v="20190804131415e"/>
    <x v="3"/>
    <s v="event"/>
    <x v="2"/>
    <n v="1"/>
    <x v="0"/>
    <s v="Windows 8 Professional"/>
    <n v="0"/>
    <n v="1"/>
    <n v="0"/>
    <n v="0"/>
    <n v="0"/>
  </r>
  <r>
    <s v="20190804131415p"/>
    <x v="3"/>
    <s v="pageview"/>
    <x v="3"/>
    <n v="1"/>
    <x v="5"/>
    <s v="Windows 8 Professional"/>
    <n v="1"/>
    <n v="0"/>
    <n v="0"/>
    <n v="0"/>
    <n v="0"/>
  </r>
  <r>
    <s v="20190804131415e"/>
    <x v="3"/>
    <s v="event"/>
    <x v="2"/>
    <n v="1"/>
    <x v="1"/>
    <s v="Windows XP (32-Bit)"/>
    <n v="0"/>
    <n v="1"/>
    <n v="0"/>
    <n v="0"/>
    <n v="0"/>
  </r>
  <r>
    <s v="20190804131415p"/>
    <x v="3"/>
    <s v="pageview"/>
    <x v="0"/>
    <n v="1"/>
    <x v="1"/>
    <s v="Windows XP (32-Bit)"/>
    <n v="1"/>
    <n v="0"/>
    <n v="0"/>
    <n v="0"/>
    <n v="0"/>
  </r>
  <r>
    <s v="20190804131415e"/>
    <x v="3"/>
    <s v="event"/>
    <x v="0"/>
    <n v="1"/>
    <x v="2"/>
    <s v="Windows XP (32-Bit)"/>
    <n v="0"/>
    <n v="1"/>
    <n v="0"/>
    <n v="0"/>
    <n v="0"/>
  </r>
  <r>
    <s v="20190804131415o"/>
    <x v="3"/>
    <s v="open"/>
    <x v="1"/>
    <n v="1"/>
    <x v="3"/>
    <s v="Windows XP (32-Bit)"/>
    <n v="0"/>
    <n v="0"/>
    <n v="1"/>
    <n v="0"/>
    <n v="0"/>
  </r>
  <r>
    <s v="20190804131415p"/>
    <x v="3"/>
    <s v="pageview"/>
    <x v="4"/>
    <n v="1"/>
    <x v="3"/>
    <s v="Windows XP (32-Bit)"/>
    <n v="1"/>
    <n v="0"/>
    <n v="0"/>
    <n v="0"/>
    <n v="0"/>
  </r>
  <r>
    <s v="20190804131415o"/>
    <x v="3"/>
    <s v="open"/>
    <x v="1"/>
    <n v="1"/>
    <x v="3"/>
    <s v="Windows XP (32-Bit)"/>
    <n v="0"/>
    <n v="0"/>
    <n v="1"/>
    <n v="0"/>
    <n v="0"/>
  </r>
  <r>
    <s v="20190804131415o"/>
    <x v="3"/>
    <s v="open"/>
    <x v="5"/>
    <n v="1"/>
    <x v="4"/>
    <s v="Windows 8 Professional"/>
    <n v="0"/>
    <n v="0"/>
    <n v="1"/>
    <n v="0"/>
    <n v="0"/>
  </r>
  <r>
    <s v="20190804131415p"/>
    <x v="3"/>
    <s v="pageview"/>
    <x v="2"/>
    <n v="1"/>
    <x v="4"/>
    <s v="Windows 8 Professional"/>
    <n v="1"/>
    <n v="0"/>
    <n v="0"/>
    <n v="0"/>
    <n v="0"/>
  </r>
  <r>
    <s v="20190805131415p"/>
    <x v="4"/>
    <s v="pageview"/>
    <x v="3"/>
    <n v="1"/>
    <x v="0"/>
    <s v="Windows 8 Professional"/>
    <n v="1"/>
    <n v="0"/>
    <n v="0"/>
    <n v="0"/>
    <n v="0"/>
  </r>
  <r>
    <s v="20190805131415p"/>
    <x v="4"/>
    <s v="pageview"/>
    <x v="3"/>
    <n v="1"/>
    <x v="0"/>
    <s v="Windows 8 Professional"/>
    <n v="1"/>
    <n v="0"/>
    <n v="0"/>
    <n v="0"/>
    <n v="0"/>
  </r>
  <r>
    <s v="20190805131415s"/>
    <x v="4"/>
    <s v="save"/>
    <x v="5"/>
    <n v="1"/>
    <x v="0"/>
    <s v="Windows 8 Professional"/>
    <n v="0"/>
    <n v="0"/>
    <n v="0"/>
    <n v="1"/>
    <n v="0"/>
  </r>
  <r>
    <s v="20190805131415p"/>
    <x v="4"/>
    <s v="pageview"/>
    <x v="5"/>
    <n v="1"/>
    <x v="5"/>
    <s v="Windows 8 Professional"/>
    <n v="1"/>
    <n v="0"/>
    <n v="0"/>
    <n v="0"/>
    <n v="0"/>
  </r>
  <r>
    <s v="20190805131415p"/>
    <x v="4"/>
    <s v="pageview"/>
    <x v="0"/>
    <n v="1"/>
    <x v="5"/>
    <s v="Windows 8 Professional"/>
    <n v="1"/>
    <n v="0"/>
    <n v="0"/>
    <n v="0"/>
    <n v="0"/>
  </r>
  <r>
    <s v="20190805131415p"/>
    <x v="4"/>
    <s v="pageview"/>
    <x v="5"/>
    <n v="1"/>
    <x v="5"/>
    <s v="Windows 8 Professional"/>
    <n v="1"/>
    <n v="0"/>
    <n v="0"/>
    <n v="0"/>
    <n v="0"/>
  </r>
  <r>
    <s v="20190805131415p"/>
    <x v="4"/>
    <s v="pageview"/>
    <x v="5"/>
    <n v="1"/>
    <x v="5"/>
    <s v="Windows 8 Professional"/>
    <n v="1"/>
    <n v="0"/>
    <n v="0"/>
    <n v="0"/>
    <n v="0"/>
  </r>
  <r>
    <s v="20190805131415p"/>
    <x v="4"/>
    <s v="pageview"/>
    <x v="1"/>
    <n v="1"/>
    <x v="5"/>
    <s v="Windows 8 Professional"/>
    <n v="1"/>
    <n v="0"/>
    <n v="0"/>
    <n v="0"/>
    <n v="0"/>
  </r>
  <r>
    <s v="20190805131415p"/>
    <x v="4"/>
    <s v="pageview"/>
    <x v="1"/>
    <n v="1"/>
    <x v="1"/>
    <s v="Windows XP (32-Bit)"/>
    <n v="1"/>
    <n v="0"/>
    <n v="0"/>
    <n v="0"/>
    <n v="0"/>
  </r>
  <r>
    <s v="20190805131415p"/>
    <x v="4"/>
    <s v="pageview"/>
    <x v="4"/>
    <n v="1"/>
    <x v="2"/>
    <s v="Windows XP (32-Bit)"/>
    <n v="1"/>
    <n v="0"/>
    <n v="0"/>
    <n v="0"/>
    <n v="0"/>
  </r>
  <r>
    <s v="20190805131415p"/>
    <x v="4"/>
    <s v="pageview"/>
    <x v="0"/>
    <n v="1"/>
    <x v="4"/>
    <s v="Windows 8 Professional"/>
    <n v="1"/>
    <n v="0"/>
    <n v="0"/>
    <n v="0"/>
    <n v="0"/>
  </r>
  <r>
    <s v="20190805131415p"/>
    <x v="4"/>
    <s v="pageview"/>
    <x v="1"/>
    <n v="1"/>
    <x v="4"/>
    <s v="Windows 8 Professional"/>
    <n v="1"/>
    <n v="0"/>
    <n v="0"/>
    <n v="0"/>
    <n v="0"/>
  </r>
  <r>
    <s v="20190805131415p"/>
    <x v="4"/>
    <s v="pageview"/>
    <x v="5"/>
    <n v="1"/>
    <x v="4"/>
    <s v="Windows 8 Professional"/>
    <n v="1"/>
    <n v="0"/>
    <n v="0"/>
    <n v="0"/>
    <n v="0"/>
  </r>
  <r>
    <s v="20190806131415p"/>
    <x v="5"/>
    <s v="pageview"/>
    <x v="3"/>
    <n v="1"/>
    <x v="0"/>
    <s v="Windows 8 Professional"/>
    <n v="1"/>
    <n v="0"/>
    <n v="0"/>
    <n v="0"/>
    <n v="0"/>
  </r>
  <r>
    <s v="20190806131415e"/>
    <x v="5"/>
    <s v="event"/>
    <x v="2"/>
    <n v="1"/>
    <x v="0"/>
    <s v="Windows 8 Professional"/>
    <n v="0"/>
    <n v="1"/>
    <n v="0"/>
    <n v="0"/>
    <n v="0"/>
  </r>
  <r>
    <s v="20190806131415p"/>
    <x v="5"/>
    <s v="pageview"/>
    <x v="1"/>
    <n v="1"/>
    <x v="0"/>
    <s v="Windows 8 Professional"/>
    <n v="1"/>
    <n v="0"/>
    <n v="0"/>
    <n v="0"/>
    <n v="0"/>
  </r>
  <r>
    <s v="20190806131415p"/>
    <x v="5"/>
    <s v="pageview"/>
    <x v="3"/>
    <n v="1"/>
    <x v="0"/>
    <s v="Windows 8 Professional"/>
    <n v="1"/>
    <n v="0"/>
    <n v="0"/>
    <n v="0"/>
    <n v="0"/>
  </r>
  <r>
    <s v="20190806131415p"/>
    <x v="5"/>
    <s v="pageview"/>
    <x v="2"/>
    <n v="1"/>
    <x v="1"/>
    <s v="Windows XP (32-Bit)"/>
    <n v="1"/>
    <n v="0"/>
    <n v="0"/>
    <n v="0"/>
    <n v="0"/>
  </r>
  <r>
    <s v="20190806131415p"/>
    <x v="5"/>
    <s v="pageview"/>
    <x v="0"/>
    <n v="1"/>
    <x v="1"/>
    <s v="Windows XP (32-Bit)"/>
    <n v="1"/>
    <n v="0"/>
    <n v="0"/>
    <n v="0"/>
    <n v="0"/>
  </r>
  <r>
    <s v="20190806131415o"/>
    <x v="5"/>
    <s v="open"/>
    <x v="4"/>
    <n v="1"/>
    <x v="1"/>
    <s v="Windows XP (32-Bit)"/>
    <n v="0"/>
    <n v="0"/>
    <n v="1"/>
    <n v="0"/>
    <n v="0"/>
  </r>
  <r>
    <s v="20190806131415p"/>
    <x v="5"/>
    <s v="pageview"/>
    <x v="2"/>
    <n v="1"/>
    <x v="2"/>
    <s v="Windows XP (32-Bit)"/>
    <n v="1"/>
    <n v="0"/>
    <n v="0"/>
    <n v="0"/>
    <n v="0"/>
  </r>
  <r>
    <s v="20190806131415p"/>
    <x v="5"/>
    <s v="pageview"/>
    <x v="1"/>
    <n v="1"/>
    <x v="2"/>
    <s v="Windows XP (32-Bit)"/>
    <n v="1"/>
    <n v="0"/>
    <n v="0"/>
    <n v="0"/>
    <n v="0"/>
  </r>
  <r>
    <s v="20190806131415s"/>
    <x v="5"/>
    <s v="save"/>
    <x v="1"/>
    <n v="1"/>
    <x v="2"/>
    <s v="Windows XP (32-Bit)"/>
    <n v="0"/>
    <n v="0"/>
    <n v="0"/>
    <n v="1"/>
    <n v="0"/>
  </r>
  <r>
    <s v="20190806131415p"/>
    <x v="5"/>
    <s v="pageview"/>
    <x v="2"/>
    <n v="1"/>
    <x v="2"/>
    <s v="Windows XP (32-Bit)"/>
    <n v="1"/>
    <n v="0"/>
    <n v="0"/>
    <n v="0"/>
    <n v="0"/>
  </r>
  <r>
    <s v="20190806131415p"/>
    <x v="5"/>
    <s v="pageview"/>
    <x v="4"/>
    <n v="1"/>
    <x v="3"/>
    <s v="Windows XP (32-Bit)"/>
    <n v="1"/>
    <n v="0"/>
    <n v="0"/>
    <n v="0"/>
    <n v="0"/>
  </r>
  <r>
    <s v="20190806131415o"/>
    <x v="5"/>
    <s v="open"/>
    <x v="1"/>
    <n v="1"/>
    <x v="3"/>
    <s v="Windows XP (32-Bit)"/>
    <n v="0"/>
    <n v="0"/>
    <n v="1"/>
    <n v="0"/>
    <n v="0"/>
  </r>
  <r>
    <s v="20190806131415p"/>
    <x v="5"/>
    <s v="pageview"/>
    <x v="3"/>
    <n v="1"/>
    <x v="4"/>
    <s v="Windows 8 Professional"/>
    <n v="1"/>
    <n v="0"/>
    <n v="0"/>
    <n v="0"/>
    <n v="0"/>
  </r>
  <r>
    <s v="20190806131415e"/>
    <x v="5"/>
    <s v="event"/>
    <x v="2"/>
    <n v="1"/>
    <x v="4"/>
    <s v="Windows 8 Professional"/>
    <n v="0"/>
    <n v="1"/>
    <n v="0"/>
    <n v="0"/>
    <n v="0"/>
  </r>
  <r>
    <s v="20190807131415p"/>
    <x v="6"/>
    <s v="pageview"/>
    <x v="5"/>
    <n v="1"/>
    <x v="0"/>
    <s v="Windows 8 Professional"/>
    <n v="1"/>
    <n v="0"/>
    <n v="0"/>
    <n v="0"/>
    <n v="0"/>
  </r>
  <r>
    <s v="20190807131415p"/>
    <x v="6"/>
    <s v="pageview"/>
    <x v="3"/>
    <n v="1"/>
    <x v="0"/>
    <s v="Windows 8 Professional"/>
    <n v="1"/>
    <n v="0"/>
    <n v="0"/>
    <n v="0"/>
    <n v="0"/>
  </r>
  <r>
    <s v="20190807131415p"/>
    <x v="6"/>
    <s v="pageview"/>
    <x v="0"/>
    <n v="1"/>
    <x v="0"/>
    <s v="Windows 8 Professional"/>
    <n v="1"/>
    <n v="0"/>
    <n v="0"/>
    <n v="0"/>
    <n v="0"/>
  </r>
  <r>
    <s v="20190807131415s"/>
    <x v="6"/>
    <s v="save"/>
    <x v="3"/>
    <n v="1"/>
    <x v="5"/>
    <s v="Windows 8 Professional"/>
    <n v="0"/>
    <n v="0"/>
    <n v="0"/>
    <n v="1"/>
    <n v="0"/>
  </r>
  <r>
    <s v="20190807131415p"/>
    <x v="6"/>
    <s v="pageview"/>
    <x v="3"/>
    <n v="1"/>
    <x v="5"/>
    <s v="Windows 8 Professional"/>
    <n v="1"/>
    <n v="0"/>
    <n v="0"/>
    <n v="0"/>
    <n v="0"/>
  </r>
  <r>
    <s v="20190807131415e"/>
    <x v="6"/>
    <s v="event"/>
    <x v="1"/>
    <n v="1"/>
    <x v="5"/>
    <s v="Windows 8 Professional"/>
    <n v="0"/>
    <n v="1"/>
    <n v="0"/>
    <n v="0"/>
    <n v="0"/>
  </r>
  <r>
    <s v="20190807131415p"/>
    <x v="6"/>
    <s v="pageview"/>
    <x v="4"/>
    <n v="1"/>
    <x v="5"/>
    <s v="Windows 8 Professional"/>
    <n v="1"/>
    <n v="0"/>
    <n v="0"/>
    <n v="0"/>
    <n v="0"/>
  </r>
  <r>
    <s v="20190807131415p"/>
    <x v="6"/>
    <s v="pageview"/>
    <x v="4"/>
    <n v="1"/>
    <x v="2"/>
    <s v="Windows XP (32-Bit)"/>
    <n v="1"/>
    <n v="0"/>
    <n v="0"/>
    <n v="0"/>
    <n v="0"/>
  </r>
  <r>
    <s v="20190807131415p"/>
    <x v="6"/>
    <s v="pageview"/>
    <x v="0"/>
    <n v="1"/>
    <x v="3"/>
    <s v="Windows XP (32-Bit)"/>
    <n v="1"/>
    <n v="0"/>
    <n v="0"/>
    <n v="0"/>
    <n v="0"/>
  </r>
  <r>
    <s v="20190807131415e"/>
    <x v="6"/>
    <s v="event"/>
    <x v="2"/>
    <n v="1"/>
    <x v="3"/>
    <s v="Windows XP (32-Bit)"/>
    <n v="0"/>
    <n v="1"/>
    <n v="0"/>
    <n v="0"/>
    <n v="0"/>
  </r>
  <r>
    <s v="20190807131415p"/>
    <x v="6"/>
    <s v="pageview"/>
    <x v="3"/>
    <n v="1"/>
    <x v="3"/>
    <s v="Windows XP (32-Bit)"/>
    <n v="1"/>
    <n v="0"/>
    <n v="0"/>
    <n v="0"/>
    <n v="0"/>
  </r>
  <r>
    <s v="20190807131415p"/>
    <x v="6"/>
    <s v="pageview"/>
    <x v="0"/>
    <n v="1"/>
    <x v="3"/>
    <s v="Windows XP (32-Bit)"/>
    <n v="1"/>
    <n v="0"/>
    <n v="0"/>
    <n v="0"/>
    <n v="0"/>
  </r>
  <r>
    <s v="20190807131415p"/>
    <x v="6"/>
    <s v="pageview"/>
    <x v="5"/>
    <n v="1"/>
    <x v="3"/>
    <s v="Windows XP (32-Bit)"/>
    <n v="1"/>
    <n v="0"/>
    <n v="0"/>
    <n v="0"/>
    <n v="0"/>
  </r>
  <r>
    <s v="20190808131415p"/>
    <x v="7"/>
    <s v="pageview"/>
    <x v="2"/>
    <n v="1"/>
    <x v="0"/>
    <s v="Windows 8 Professional"/>
    <n v="1"/>
    <n v="0"/>
    <n v="0"/>
    <n v="0"/>
    <n v="0"/>
  </r>
  <r>
    <s v="20190808131415p"/>
    <x v="7"/>
    <s v="pageview"/>
    <x v="4"/>
    <n v="1"/>
    <x v="0"/>
    <s v="Windows 8 Professional"/>
    <n v="1"/>
    <n v="0"/>
    <n v="0"/>
    <n v="0"/>
    <n v="0"/>
  </r>
  <r>
    <s v="20190808131415p"/>
    <x v="7"/>
    <s v="pageview"/>
    <x v="5"/>
    <n v="1"/>
    <x v="0"/>
    <s v="Windows 8 Professional"/>
    <n v="1"/>
    <n v="0"/>
    <n v="0"/>
    <n v="0"/>
    <n v="0"/>
  </r>
  <r>
    <s v="20190808131415p"/>
    <x v="7"/>
    <s v="pageview"/>
    <x v="1"/>
    <n v="1"/>
    <x v="5"/>
    <s v="Windows 8 Professional"/>
    <n v="1"/>
    <n v="0"/>
    <n v="0"/>
    <n v="0"/>
    <n v="0"/>
  </r>
  <r>
    <s v="20190808131415p"/>
    <x v="7"/>
    <s v="pageview"/>
    <x v="0"/>
    <n v="1"/>
    <x v="5"/>
    <s v="Windows 8 Professional"/>
    <n v="1"/>
    <n v="0"/>
    <n v="0"/>
    <n v="0"/>
    <n v="0"/>
  </r>
  <r>
    <s v="20190808131415p"/>
    <x v="7"/>
    <s v="pageview"/>
    <x v="5"/>
    <n v="1"/>
    <x v="5"/>
    <s v="Windows 8 Professional"/>
    <n v="1"/>
    <n v="0"/>
    <n v="0"/>
    <n v="0"/>
    <n v="0"/>
  </r>
  <r>
    <s v="20190808131415o"/>
    <x v="7"/>
    <s v="open"/>
    <x v="4"/>
    <n v="1"/>
    <x v="5"/>
    <s v="Windows 8 Professional"/>
    <n v="0"/>
    <n v="0"/>
    <n v="1"/>
    <n v="0"/>
    <n v="0"/>
  </r>
  <r>
    <s v="20190808131415o"/>
    <x v="7"/>
    <s v="open"/>
    <x v="5"/>
    <n v="1"/>
    <x v="1"/>
    <s v="Windows XP (32-Bit)"/>
    <n v="0"/>
    <n v="0"/>
    <n v="1"/>
    <n v="0"/>
    <n v="0"/>
  </r>
  <r>
    <s v="20190808131415s"/>
    <x v="7"/>
    <s v="save"/>
    <x v="5"/>
    <n v="1"/>
    <x v="1"/>
    <s v="Windows XP (32-Bit)"/>
    <n v="0"/>
    <n v="0"/>
    <n v="0"/>
    <n v="1"/>
    <n v="0"/>
  </r>
  <r>
    <s v="20190808131415p"/>
    <x v="7"/>
    <s v="pageview"/>
    <x v="5"/>
    <n v="1"/>
    <x v="3"/>
    <s v="Windows XP (32-Bit)"/>
    <n v="1"/>
    <n v="0"/>
    <n v="0"/>
    <n v="0"/>
    <n v="0"/>
  </r>
  <r>
    <s v="20190808131415p"/>
    <x v="7"/>
    <s v="pageview"/>
    <x v="5"/>
    <n v="1"/>
    <x v="4"/>
    <s v="Windows 8 Professional"/>
    <n v="1"/>
    <n v="0"/>
    <n v="0"/>
    <n v="0"/>
    <n v="0"/>
  </r>
  <r>
    <s v="20190808131415p"/>
    <x v="7"/>
    <s v="pageview"/>
    <x v="5"/>
    <n v="1"/>
    <x v="4"/>
    <s v="Windows 8 Professional"/>
    <n v="1"/>
    <n v="0"/>
    <n v="0"/>
    <n v="0"/>
    <n v="0"/>
  </r>
  <r>
    <s v="20190809131415e"/>
    <x v="8"/>
    <s v="event"/>
    <x v="3"/>
    <n v="1"/>
    <x v="5"/>
    <s v="Windows 8 Professional"/>
    <n v="0"/>
    <n v="1"/>
    <n v="0"/>
    <n v="0"/>
    <n v="0"/>
  </r>
  <r>
    <s v="20190809131415p"/>
    <x v="8"/>
    <s v="pageview"/>
    <x v="5"/>
    <n v="1"/>
    <x v="5"/>
    <s v="Windows 8 Professional"/>
    <n v="1"/>
    <n v="0"/>
    <n v="0"/>
    <n v="0"/>
    <n v="0"/>
  </r>
  <r>
    <s v="20190809131415p"/>
    <x v="8"/>
    <s v="pageview"/>
    <x v="1"/>
    <n v="1"/>
    <x v="2"/>
    <s v="Windows XP (32-Bit)"/>
    <n v="1"/>
    <n v="0"/>
    <n v="0"/>
    <n v="0"/>
    <n v="0"/>
  </r>
  <r>
    <s v="20190809131415p"/>
    <x v="8"/>
    <s v="pageview"/>
    <x v="1"/>
    <n v="1"/>
    <x v="2"/>
    <s v="Windows XP (32-Bit)"/>
    <n v="1"/>
    <n v="0"/>
    <n v="0"/>
    <n v="0"/>
    <n v="0"/>
  </r>
  <r>
    <s v="20190809131415p"/>
    <x v="8"/>
    <s v="pageview"/>
    <x v="4"/>
    <n v="1"/>
    <x v="4"/>
    <s v="Windows 8 Professional"/>
    <n v="1"/>
    <n v="0"/>
    <n v="0"/>
    <n v="0"/>
    <n v="0"/>
  </r>
  <r>
    <s v="20190809131415s"/>
    <x v="8"/>
    <s v="save"/>
    <x v="4"/>
    <n v="1"/>
    <x v="4"/>
    <s v="Windows 8 Professional"/>
    <n v="0"/>
    <n v="0"/>
    <n v="0"/>
    <n v="1"/>
    <n v="0"/>
  </r>
  <r>
    <s v="20190810131415p"/>
    <x v="9"/>
    <s v="pageview"/>
    <x v="3"/>
    <n v="1"/>
    <x v="0"/>
    <s v="Windows 8 Professional"/>
    <n v="1"/>
    <n v="0"/>
    <n v="0"/>
    <n v="0"/>
    <n v="0"/>
  </r>
  <r>
    <s v="20190810131415p"/>
    <x v="9"/>
    <s v="pageview"/>
    <x v="4"/>
    <n v="1"/>
    <x v="5"/>
    <s v="Windows 8 Professional"/>
    <n v="1"/>
    <n v="0"/>
    <n v="0"/>
    <n v="0"/>
    <n v="0"/>
  </r>
  <r>
    <s v="20190810131415e"/>
    <x v="9"/>
    <s v="event"/>
    <x v="2"/>
    <n v="1"/>
    <x v="5"/>
    <s v="Windows 8 Professional"/>
    <n v="0"/>
    <n v="1"/>
    <n v="0"/>
    <n v="0"/>
    <n v="0"/>
  </r>
  <r>
    <s v="20190810131415p"/>
    <x v="9"/>
    <s v="pageview"/>
    <x v="0"/>
    <n v="1"/>
    <x v="5"/>
    <s v="Windows 8 Professional"/>
    <n v="1"/>
    <n v="0"/>
    <n v="0"/>
    <n v="0"/>
    <n v="0"/>
  </r>
  <r>
    <s v="20190810131415p"/>
    <x v="9"/>
    <s v="pageview"/>
    <x v="4"/>
    <n v="1"/>
    <x v="1"/>
    <s v="Windows XP (32-Bit)"/>
    <n v="1"/>
    <n v="0"/>
    <n v="0"/>
    <n v="0"/>
    <n v="0"/>
  </r>
  <r>
    <s v="20190810131415e"/>
    <x v="9"/>
    <s v="event"/>
    <x v="5"/>
    <n v="1"/>
    <x v="1"/>
    <s v="Windows XP (32-Bit)"/>
    <n v="0"/>
    <n v="1"/>
    <n v="0"/>
    <n v="0"/>
    <n v="0"/>
  </r>
  <r>
    <s v="20190810131415p"/>
    <x v="9"/>
    <s v="pageview"/>
    <x v="1"/>
    <n v="1"/>
    <x v="3"/>
    <s v="Windows XP (32-Bit)"/>
    <n v="1"/>
    <n v="0"/>
    <n v="0"/>
    <n v="0"/>
    <n v="0"/>
  </r>
  <r>
    <s v="20190810131415p"/>
    <x v="9"/>
    <s v="pageview"/>
    <x v="5"/>
    <n v="1"/>
    <x v="4"/>
    <s v="Windows 8 Professional"/>
    <n v="1"/>
    <n v="0"/>
    <n v="0"/>
    <n v="0"/>
    <n v="0"/>
  </r>
  <r>
    <s v="20190810131415p"/>
    <x v="9"/>
    <s v="pageview"/>
    <x v="3"/>
    <n v="1"/>
    <x v="4"/>
    <s v="Windows 8 Professional"/>
    <n v="1"/>
    <n v="0"/>
    <n v="0"/>
    <n v="0"/>
    <n v="0"/>
  </r>
  <r>
    <s v="20190811131415p"/>
    <x v="10"/>
    <s v="pageview"/>
    <x v="5"/>
    <n v="1"/>
    <x v="0"/>
    <s v="Windows 8 Professional"/>
    <n v="1"/>
    <n v="0"/>
    <n v="0"/>
    <n v="0"/>
    <n v="0"/>
  </r>
  <r>
    <s v="20190811131415p"/>
    <x v="10"/>
    <s v="pageview"/>
    <x v="0"/>
    <n v="1"/>
    <x v="5"/>
    <s v="Windows 8 Professional"/>
    <n v="1"/>
    <n v="0"/>
    <n v="0"/>
    <n v="0"/>
    <n v="0"/>
  </r>
  <r>
    <s v="20190811131415s"/>
    <x v="10"/>
    <s v="save"/>
    <x v="4"/>
    <n v="1"/>
    <x v="5"/>
    <s v="Windows 8 Professional"/>
    <n v="0"/>
    <n v="0"/>
    <n v="0"/>
    <n v="1"/>
    <n v="0"/>
  </r>
  <r>
    <s v="20190811131415p"/>
    <x v="10"/>
    <s v="pageview"/>
    <x v="5"/>
    <n v="1"/>
    <x v="5"/>
    <s v="Windows 8 Professional"/>
    <n v="1"/>
    <n v="0"/>
    <n v="0"/>
    <n v="0"/>
    <n v="0"/>
  </r>
  <r>
    <s v="20190811131415p"/>
    <x v="10"/>
    <s v="pageview"/>
    <x v="3"/>
    <n v="1"/>
    <x v="5"/>
    <s v="Windows 8 Professional"/>
    <n v="1"/>
    <n v="0"/>
    <n v="0"/>
    <n v="0"/>
    <n v="0"/>
  </r>
  <r>
    <s v="20190811131415p"/>
    <x v="10"/>
    <s v="pageview"/>
    <x v="0"/>
    <n v="1"/>
    <x v="1"/>
    <s v="Windows XP (32-Bit)"/>
    <n v="1"/>
    <n v="0"/>
    <n v="0"/>
    <n v="0"/>
    <n v="0"/>
  </r>
  <r>
    <s v="20190811131415p"/>
    <x v="10"/>
    <s v="pageview"/>
    <x v="1"/>
    <n v="1"/>
    <x v="1"/>
    <s v="Windows XP (32-Bit)"/>
    <n v="1"/>
    <n v="0"/>
    <n v="0"/>
    <n v="0"/>
    <n v="0"/>
  </r>
  <r>
    <s v="20190811131415e"/>
    <x v="10"/>
    <s v="event"/>
    <x v="0"/>
    <n v="1"/>
    <x v="2"/>
    <s v="Windows XP (32-Bit)"/>
    <n v="0"/>
    <n v="1"/>
    <n v="0"/>
    <n v="0"/>
    <n v="0"/>
  </r>
  <r>
    <s v="20190811131415p"/>
    <x v="10"/>
    <s v="pageview"/>
    <x v="4"/>
    <n v="1"/>
    <x v="3"/>
    <s v="Windows XP (32-Bit)"/>
    <n v="1"/>
    <n v="0"/>
    <n v="0"/>
    <n v="0"/>
    <n v="0"/>
  </r>
  <r>
    <s v="20190811131415p"/>
    <x v="10"/>
    <s v="pageview"/>
    <x v="1"/>
    <n v="1"/>
    <x v="3"/>
    <s v="Windows XP (32-Bit)"/>
    <n v="1"/>
    <n v="0"/>
    <n v="0"/>
    <n v="0"/>
    <n v="0"/>
  </r>
  <r>
    <s v="20190811131415s"/>
    <x v="10"/>
    <s v="save"/>
    <x v="5"/>
    <n v="1"/>
    <x v="4"/>
    <s v="Windows 8 Professional"/>
    <n v="0"/>
    <n v="0"/>
    <n v="0"/>
    <n v="1"/>
    <n v="0"/>
  </r>
  <r>
    <s v="20190811131415s"/>
    <x v="10"/>
    <s v="save"/>
    <x v="1"/>
    <n v="1"/>
    <x v="4"/>
    <s v="Windows 8 Professional"/>
    <n v="0"/>
    <n v="0"/>
    <n v="0"/>
    <n v="1"/>
    <n v="0"/>
  </r>
  <r>
    <s v="20190812131415o"/>
    <x v="11"/>
    <s v="open"/>
    <x v="5"/>
    <n v="1"/>
    <x v="0"/>
    <s v="Windows 8 Professional"/>
    <n v="0"/>
    <n v="0"/>
    <n v="1"/>
    <n v="0"/>
    <n v="0"/>
  </r>
  <r>
    <s v="20190812131415o"/>
    <x v="11"/>
    <s v="open"/>
    <x v="2"/>
    <n v="1"/>
    <x v="0"/>
    <s v="Windows 8 Professional"/>
    <n v="0"/>
    <n v="0"/>
    <n v="1"/>
    <n v="0"/>
    <n v="0"/>
  </r>
  <r>
    <s v="20190812131415p"/>
    <x v="11"/>
    <s v="pageview"/>
    <x v="2"/>
    <n v="1"/>
    <x v="0"/>
    <s v="Windows 8 Professional"/>
    <n v="1"/>
    <n v="0"/>
    <n v="0"/>
    <n v="0"/>
    <n v="0"/>
  </r>
  <r>
    <s v="20190812131415e"/>
    <x v="11"/>
    <s v="event"/>
    <x v="1"/>
    <n v="1"/>
    <x v="5"/>
    <s v="Windows 8 Professional"/>
    <n v="0"/>
    <n v="1"/>
    <n v="0"/>
    <n v="0"/>
    <n v="0"/>
  </r>
  <r>
    <s v="20190812131415p"/>
    <x v="11"/>
    <s v="pageview"/>
    <x v="3"/>
    <n v="1"/>
    <x v="5"/>
    <s v="Windows 8 Professional"/>
    <n v="1"/>
    <n v="0"/>
    <n v="0"/>
    <n v="0"/>
    <n v="0"/>
  </r>
  <r>
    <s v="20190812131415p"/>
    <x v="11"/>
    <s v="pageview"/>
    <x v="5"/>
    <n v="1"/>
    <x v="5"/>
    <s v="Windows 8 Professional"/>
    <n v="1"/>
    <n v="0"/>
    <n v="0"/>
    <n v="0"/>
    <n v="0"/>
  </r>
  <r>
    <s v="20190812131415o"/>
    <x v="11"/>
    <s v="open"/>
    <x v="4"/>
    <n v="1"/>
    <x v="5"/>
    <s v="Windows 8 Professional"/>
    <n v="0"/>
    <n v="0"/>
    <n v="1"/>
    <n v="0"/>
    <n v="0"/>
  </r>
  <r>
    <s v="20190812131415p"/>
    <x v="11"/>
    <s v="pageview"/>
    <x v="3"/>
    <n v="1"/>
    <x v="1"/>
    <s v="Windows XP (32-Bit)"/>
    <n v="1"/>
    <n v="0"/>
    <n v="0"/>
    <n v="0"/>
    <n v="0"/>
  </r>
  <r>
    <s v="20190812131415p"/>
    <x v="11"/>
    <s v="pageview"/>
    <x v="5"/>
    <n v="1"/>
    <x v="1"/>
    <s v="Windows XP (32-Bit)"/>
    <n v="1"/>
    <n v="0"/>
    <n v="0"/>
    <n v="0"/>
    <n v="0"/>
  </r>
  <r>
    <s v="20190812131415e"/>
    <x v="11"/>
    <s v="event"/>
    <x v="2"/>
    <n v="1"/>
    <x v="1"/>
    <s v="Windows XP (32-Bit)"/>
    <n v="0"/>
    <n v="1"/>
    <n v="0"/>
    <n v="0"/>
    <n v="0"/>
  </r>
  <r>
    <s v="20190812131415s"/>
    <x v="11"/>
    <s v="save"/>
    <x v="5"/>
    <n v="1"/>
    <x v="2"/>
    <s v="Windows XP (32-Bit)"/>
    <n v="0"/>
    <n v="0"/>
    <n v="0"/>
    <n v="1"/>
    <n v="0"/>
  </r>
  <r>
    <s v="20190812131415p"/>
    <x v="11"/>
    <s v="pageview"/>
    <x v="5"/>
    <n v="1"/>
    <x v="2"/>
    <s v="Windows XP (32-Bit)"/>
    <n v="1"/>
    <n v="0"/>
    <n v="0"/>
    <n v="0"/>
    <n v="0"/>
  </r>
  <r>
    <s v="20190812131415p"/>
    <x v="11"/>
    <s v="pageview"/>
    <x v="0"/>
    <n v="1"/>
    <x v="2"/>
    <s v="Windows XP (32-Bit)"/>
    <n v="1"/>
    <n v="0"/>
    <n v="0"/>
    <n v="0"/>
    <n v="0"/>
  </r>
  <r>
    <s v="20190812131415o"/>
    <x v="11"/>
    <s v="open"/>
    <x v="1"/>
    <n v="1"/>
    <x v="2"/>
    <s v="Windows XP (32-Bit)"/>
    <n v="0"/>
    <n v="0"/>
    <n v="1"/>
    <n v="0"/>
    <n v="0"/>
  </r>
  <r>
    <s v="20190812131415p"/>
    <x v="11"/>
    <s v="pageview"/>
    <x v="5"/>
    <n v="1"/>
    <x v="2"/>
    <s v="Windows XP (32-Bit)"/>
    <n v="1"/>
    <n v="0"/>
    <n v="0"/>
    <n v="0"/>
    <n v="0"/>
  </r>
  <r>
    <s v="20190812131415p"/>
    <x v="11"/>
    <s v="pageview"/>
    <x v="3"/>
    <n v="1"/>
    <x v="3"/>
    <s v="Windows XP (32-Bit)"/>
    <n v="1"/>
    <n v="0"/>
    <n v="0"/>
    <n v="0"/>
    <n v="0"/>
  </r>
  <r>
    <s v="20190812131415s"/>
    <x v="11"/>
    <s v="save"/>
    <x v="5"/>
    <n v="1"/>
    <x v="4"/>
    <s v="Windows 8 Professional"/>
    <n v="0"/>
    <n v="0"/>
    <n v="0"/>
    <n v="1"/>
    <n v="0"/>
  </r>
  <r>
    <s v="20190813131415p"/>
    <x v="12"/>
    <s v="pageview"/>
    <x v="0"/>
    <n v="1"/>
    <x v="0"/>
    <s v="Windows 8 Professional"/>
    <n v="1"/>
    <n v="0"/>
    <n v="0"/>
    <n v="0"/>
    <n v="0"/>
  </r>
  <r>
    <s v="20190813131415e"/>
    <x v="12"/>
    <s v="event"/>
    <x v="0"/>
    <n v="1"/>
    <x v="5"/>
    <s v="Windows 8 Professional"/>
    <n v="0"/>
    <n v="1"/>
    <n v="0"/>
    <n v="0"/>
    <n v="0"/>
  </r>
  <r>
    <s v="20190813131415p"/>
    <x v="12"/>
    <s v="pageview"/>
    <x v="3"/>
    <n v="1"/>
    <x v="5"/>
    <s v="Windows 8 Professional"/>
    <n v="1"/>
    <n v="0"/>
    <n v="0"/>
    <n v="0"/>
    <n v="0"/>
  </r>
  <r>
    <s v="20190813131415o"/>
    <x v="12"/>
    <s v="open"/>
    <x v="4"/>
    <n v="1"/>
    <x v="1"/>
    <s v="Windows XP (32-Bit)"/>
    <n v="0"/>
    <n v="0"/>
    <n v="1"/>
    <n v="0"/>
    <n v="0"/>
  </r>
  <r>
    <s v="20190813131415p"/>
    <x v="12"/>
    <s v="pageview"/>
    <x v="3"/>
    <n v="1"/>
    <x v="1"/>
    <s v="Windows XP (32-Bit)"/>
    <n v="1"/>
    <n v="0"/>
    <n v="0"/>
    <n v="0"/>
    <n v="0"/>
  </r>
  <r>
    <s v="20190813131415s"/>
    <x v="12"/>
    <s v="save"/>
    <x v="1"/>
    <n v="1"/>
    <x v="1"/>
    <s v="Windows XP (32-Bit)"/>
    <n v="0"/>
    <n v="0"/>
    <n v="0"/>
    <n v="1"/>
    <n v="0"/>
  </r>
  <r>
    <s v="20190813131415p"/>
    <x v="12"/>
    <s v="pageview"/>
    <x v="5"/>
    <n v="1"/>
    <x v="1"/>
    <s v="Windows XP (32-Bit)"/>
    <n v="1"/>
    <n v="0"/>
    <n v="0"/>
    <n v="0"/>
    <n v="0"/>
  </r>
  <r>
    <s v="20190813131415p"/>
    <x v="12"/>
    <s v="pageview"/>
    <x v="4"/>
    <n v="1"/>
    <x v="3"/>
    <s v="Windows XP (32-Bit)"/>
    <n v="1"/>
    <n v="0"/>
    <n v="0"/>
    <n v="0"/>
    <n v="0"/>
  </r>
  <r>
    <s v="20190814131415p"/>
    <x v="13"/>
    <s v="pageview"/>
    <x v="1"/>
    <n v="1"/>
    <x v="0"/>
    <s v="Windows 8 Professional"/>
    <n v="1"/>
    <n v="0"/>
    <n v="0"/>
    <n v="0"/>
    <n v="0"/>
  </r>
  <r>
    <s v="20190814131415s"/>
    <x v="13"/>
    <s v="save"/>
    <x v="5"/>
    <n v="1"/>
    <x v="5"/>
    <s v="Windows 8 Professional"/>
    <n v="0"/>
    <n v="0"/>
    <n v="0"/>
    <n v="1"/>
    <n v="0"/>
  </r>
  <r>
    <s v="20190814131415o"/>
    <x v="13"/>
    <s v="open"/>
    <x v="4"/>
    <n v="1"/>
    <x v="5"/>
    <s v="Windows 8 Professional"/>
    <n v="0"/>
    <n v="0"/>
    <n v="1"/>
    <n v="0"/>
    <n v="0"/>
  </r>
  <r>
    <s v="20190814131415p"/>
    <x v="13"/>
    <s v="pageview"/>
    <x v="3"/>
    <n v="1"/>
    <x v="5"/>
    <s v="Windows 8 Professional"/>
    <n v="1"/>
    <n v="0"/>
    <n v="0"/>
    <n v="0"/>
    <n v="0"/>
  </r>
  <r>
    <s v="20190814131415o"/>
    <x v="13"/>
    <s v="open"/>
    <x v="0"/>
    <n v="1"/>
    <x v="1"/>
    <s v="Windows XP (32-Bit)"/>
    <n v="0"/>
    <n v="0"/>
    <n v="1"/>
    <n v="0"/>
    <n v="0"/>
  </r>
  <r>
    <s v="20190814131415p"/>
    <x v="13"/>
    <s v="pageview"/>
    <x v="5"/>
    <n v="1"/>
    <x v="3"/>
    <s v="Windows XP (32-Bit)"/>
    <n v="1"/>
    <n v="0"/>
    <n v="0"/>
    <n v="0"/>
    <n v="0"/>
  </r>
  <r>
    <s v="20190814131415p"/>
    <x v="13"/>
    <s v="pageview"/>
    <x v="4"/>
    <n v="1"/>
    <x v="3"/>
    <s v="Windows XP (32-Bit)"/>
    <n v="1"/>
    <n v="0"/>
    <n v="0"/>
    <n v="0"/>
    <n v="0"/>
  </r>
  <r>
    <s v="20190814131415p"/>
    <x v="13"/>
    <s v="pageview"/>
    <x v="2"/>
    <n v="1"/>
    <x v="3"/>
    <s v="Windows XP (32-Bit)"/>
    <n v="1"/>
    <n v="0"/>
    <n v="0"/>
    <n v="0"/>
    <n v="0"/>
  </r>
  <r>
    <s v="20190815131415p"/>
    <x v="14"/>
    <s v="pageview"/>
    <x v="1"/>
    <n v="1"/>
    <x v="0"/>
    <s v="Windows 8 Professional"/>
    <n v="1"/>
    <n v="0"/>
    <n v="0"/>
    <n v="0"/>
    <n v="0"/>
  </r>
  <r>
    <s v="20190815131415s"/>
    <x v="14"/>
    <s v="save"/>
    <x v="3"/>
    <n v="1"/>
    <x v="5"/>
    <s v="Windows 8 Professional"/>
    <n v="0"/>
    <n v="0"/>
    <n v="0"/>
    <n v="1"/>
    <n v="0"/>
  </r>
  <r>
    <s v="20190815131415s"/>
    <x v="14"/>
    <s v="save"/>
    <x v="2"/>
    <n v="1"/>
    <x v="5"/>
    <s v="Windows 8 Professional"/>
    <n v="0"/>
    <n v="0"/>
    <n v="0"/>
    <n v="1"/>
    <n v="0"/>
  </r>
  <r>
    <s v="20190815131415p"/>
    <x v="14"/>
    <s v="pageview"/>
    <x v="5"/>
    <n v="1"/>
    <x v="2"/>
    <s v="Windows XP (32-Bit)"/>
    <n v="1"/>
    <n v="0"/>
    <n v="0"/>
    <n v="0"/>
    <n v="0"/>
  </r>
  <r>
    <s v="20190815131415s"/>
    <x v="14"/>
    <s v="save"/>
    <x v="0"/>
    <n v="1"/>
    <x v="2"/>
    <s v="Windows XP (32-Bit)"/>
    <n v="0"/>
    <n v="0"/>
    <n v="0"/>
    <n v="1"/>
    <n v="0"/>
  </r>
  <r>
    <s v="20190815131415p"/>
    <x v="14"/>
    <s v="pageview"/>
    <x v="1"/>
    <n v="1"/>
    <x v="2"/>
    <s v="Windows XP (32-Bit)"/>
    <n v="1"/>
    <n v="0"/>
    <n v="0"/>
    <n v="0"/>
    <n v="0"/>
  </r>
  <r>
    <s v="20190815131415p"/>
    <x v="14"/>
    <s v="pageview"/>
    <x v="2"/>
    <n v="1"/>
    <x v="3"/>
    <s v="Windows XP (32-Bit)"/>
    <n v="1"/>
    <n v="0"/>
    <n v="0"/>
    <n v="0"/>
    <n v="0"/>
  </r>
  <r>
    <s v="20190815131415o"/>
    <x v="14"/>
    <s v="open"/>
    <x v="4"/>
    <n v="1"/>
    <x v="3"/>
    <s v="Windows XP (32-Bit)"/>
    <n v="0"/>
    <n v="0"/>
    <n v="1"/>
    <n v="0"/>
    <n v="0"/>
  </r>
  <r>
    <s v="20190815131415p"/>
    <x v="14"/>
    <s v="pageview"/>
    <x v="3"/>
    <n v="1"/>
    <x v="4"/>
    <s v="Windows 8 Professional"/>
    <n v="1"/>
    <n v="0"/>
    <n v="0"/>
    <n v="0"/>
    <n v="0"/>
  </r>
  <r>
    <s v="20190815131415p"/>
    <x v="14"/>
    <s v="pageview"/>
    <x v="3"/>
    <n v="1"/>
    <x v="4"/>
    <s v="Windows 8 Professional"/>
    <n v="1"/>
    <n v="0"/>
    <n v="0"/>
    <n v="0"/>
    <n v="0"/>
  </r>
  <r>
    <s v="20190816131415p"/>
    <x v="15"/>
    <s v="pageview"/>
    <x v="0"/>
    <n v="1"/>
    <x v="0"/>
    <s v="Windows 8 Professional"/>
    <n v="1"/>
    <n v="0"/>
    <n v="0"/>
    <n v="0"/>
    <n v="0"/>
  </r>
  <r>
    <s v="20190816131415p"/>
    <x v="15"/>
    <s v="pageview"/>
    <x v="2"/>
    <n v="1"/>
    <x v="0"/>
    <s v="Windows 8 Professional"/>
    <n v="1"/>
    <n v="0"/>
    <n v="0"/>
    <n v="0"/>
    <n v="0"/>
  </r>
  <r>
    <s v="20190816131415e"/>
    <x v="15"/>
    <s v="event"/>
    <x v="5"/>
    <n v="1"/>
    <x v="2"/>
    <s v="Windows XP (32-Bit)"/>
    <n v="0"/>
    <n v="1"/>
    <n v="0"/>
    <n v="0"/>
    <n v="0"/>
  </r>
  <r>
    <s v="20190816131415p"/>
    <x v="15"/>
    <s v="pageview"/>
    <x v="4"/>
    <n v="1"/>
    <x v="3"/>
    <s v="Windows XP (32-Bit)"/>
    <n v="1"/>
    <n v="0"/>
    <n v="0"/>
    <n v="0"/>
    <n v="0"/>
  </r>
  <r>
    <s v="20190817131415p"/>
    <x v="16"/>
    <s v="pageview"/>
    <x v="3"/>
    <n v="1"/>
    <x v="0"/>
    <s v="Windows 8 Professional"/>
    <n v="1"/>
    <n v="0"/>
    <n v="0"/>
    <n v="0"/>
    <n v="0"/>
  </r>
  <r>
    <s v="20190817131415p"/>
    <x v="16"/>
    <s v="pageview"/>
    <x v="1"/>
    <n v="1"/>
    <x v="0"/>
    <s v="Windows 8 Professional"/>
    <n v="1"/>
    <n v="0"/>
    <n v="0"/>
    <n v="0"/>
    <n v="0"/>
  </r>
  <r>
    <s v="20190817131415p"/>
    <x v="16"/>
    <s v="pageview"/>
    <x v="5"/>
    <n v="1"/>
    <x v="0"/>
    <s v="Windows 8 Professional"/>
    <n v="1"/>
    <n v="0"/>
    <n v="0"/>
    <n v="0"/>
    <n v="0"/>
  </r>
  <r>
    <s v="20190817131415o"/>
    <x v="16"/>
    <s v="open"/>
    <x v="3"/>
    <n v="1"/>
    <x v="0"/>
    <s v="Windows 8 Professional"/>
    <n v="0"/>
    <n v="0"/>
    <n v="1"/>
    <n v="0"/>
    <n v="0"/>
  </r>
  <r>
    <s v="20190817131415e"/>
    <x v="16"/>
    <s v="event"/>
    <x v="3"/>
    <n v="1"/>
    <x v="5"/>
    <s v="Windows 8 Professional"/>
    <n v="0"/>
    <n v="1"/>
    <n v="0"/>
    <n v="0"/>
    <n v="0"/>
  </r>
  <r>
    <s v="20190817131415o"/>
    <x v="16"/>
    <s v="open"/>
    <x v="3"/>
    <n v="1"/>
    <x v="5"/>
    <s v="Windows 8 Professional"/>
    <n v="0"/>
    <n v="0"/>
    <n v="1"/>
    <n v="0"/>
    <n v="0"/>
  </r>
  <r>
    <s v="20190817131415p"/>
    <x v="16"/>
    <s v="pageview"/>
    <x v="1"/>
    <n v="1"/>
    <x v="5"/>
    <s v="Windows 8 Professional"/>
    <n v="1"/>
    <n v="0"/>
    <n v="0"/>
    <n v="0"/>
    <n v="0"/>
  </r>
  <r>
    <s v="20190817131415p"/>
    <x v="16"/>
    <s v="pageview"/>
    <x v="4"/>
    <n v="1"/>
    <x v="4"/>
    <s v="Windows 8 Professional"/>
    <n v="1"/>
    <n v="0"/>
    <n v="0"/>
    <n v="0"/>
    <n v="0"/>
  </r>
  <r>
    <s v="20190817131415o"/>
    <x v="16"/>
    <s v="open"/>
    <x v="0"/>
    <n v="1"/>
    <x v="4"/>
    <s v="Windows 8 Professional"/>
    <n v="0"/>
    <n v="0"/>
    <n v="1"/>
    <n v="0"/>
    <n v="0"/>
  </r>
  <r>
    <s v="20190817131415p"/>
    <x v="16"/>
    <s v="pageview"/>
    <x v="2"/>
    <n v="1"/>
    <x v="4"/>
    <s v="Windows 8 Professional"/>
    <n v="1"/>
    <n v="0"/>
    <n v="0"/>
    <n v="0"/>
    <n v="0"/>
  </r>
  <r>
    <s v="20190818131415p"/>
    <x v="17"/>
    <s v="pageview"/>
    <x v="0"/>
    <n v="1"/>
    <x v="0"/>
    <s v="Windows 8 Professional"/>
    <n v="1"/>
    <n v="0"/>
    <n v="0"/>
    <n v="0"/>
    <n v="0"/>
  </r>
  <r>
    <s v="20190818131415p"/>
    <x v="17"/>
    <s v="pageview"/>
    <x v="1"/>
    <n v="1"/>
    <x v="0"/>
    <s v="Windows 8 Professional"/>
    <n v="1"/>
    <n v="0"/>
    <n v="0"/>
    <n v="0"/>
    <n v="0"/>
  </r>
  <r>
    <s v="20190818131415o"/>
    <x v="17"/>
    <s v="open"/>
    <x v="1"/>
    <n v="1"/>
    <x v="0"/>
    <s v="Windows 8 Professional"/>
    <n v="0"/>
    <n v="0"/>
    <n v="1"/>
    <n v="0"/>
    <n v="0"/>
  </r>
  <r>
    <s v="20190818131415o"/>
    <x v="17"/>
    <s v="open"/>
    <x v="0"/>
    <n v="1"/>
    <x v="5"/>
    <s v="Windows 8 Professional"/>
    <n v="0"/>
    <n v="0"/>
    <n v="1"/>
    <n v="0"/>
    <n v="0"/>
  </r>
  <r>
    <s v="20190818131415p"/>
    <x v="17"/>
    <s v="pageview"/>
    <x v="3"/>
    <n v="1"/>
    <x v="1"/>
    <s v="Windows XP (32-Bit)"/>
    <n v="1"/>
    <n v="0"/>
    <n v="0"/>
    <n v="0"/>
    <n v="0"/>
  </r>
  <r>
    <s v="20190818131415p"/>
    <x v="17"/>
    <s v="pageview"/>
    <x v="3"/>
    <n v="1"/>
    <x v="1"/>
    <s v="Windows XP (32-Bit)"/>
    <n v="1"/>
    <n v="0"/>
    <n v="0"/>
    <n v="0"/>
    <n v="0"/>
  </r>
  <r>
    <s v="20190818131415e"/>
    <x v="17"/>
    <s v="event"/>
    <x v="0"/>
    <n v="1"/>
    <x v="2"/>
    <s v="Windows XP (32-Bit)"/>
    <n v="0"/>
    <n v="1"/>
    <n v="0"/>
    <n v="0"/>
    <n v="0"/>
  </r>
  <r>
    <s v="20190818131415p"/>
    <x v="17"/>
    <s v="pageview"/>
    <x v="1"/>
    <n v="1"/>
    <x v="2"/>
    <s v="Windows XP (32-Bit)"/>
    <n v="1"/>
    <n v="0"/>
    <n v="0"/>
    <n v="0"/>
    <n v="0"/>
  </r>
  <r>
    <s v="20190818131415p"/>
    <x v="17"/>
    <s v="pageview"/>
    <x v="0"/>
    <n v="1"/>
    <x v="2"/>
    <s v="Windows XP (32-Bit)"/>
    <n v="1"/>
    <n v="0"/>
    <n v="0"/>
    <n v="0"/>
    <n v="0"/>
  </r>
  <r>
    <s v="20190818131415e"/>
    <x v="17"/>
    <s v="event"/>
    <x v="0"/>
    <n v="1"/>
    <x v="2"/>
    <s v="Windows XP (32-Bit)"/>
    <n v="0"/>
    <n v="1"/>
    <n v="0"/>
    <n v="0"/>
    <n v="0"/>
  </r>
  <r>
    <s v="20190818131415e"/>
    <x v="17"/>
    <s v="event"/>
    <x v="1"/>
    <n v="1"/>
    <x v="3"/>
    <s v="Windows XP (32-Bit)"/>
    <n v="0"/>
    <n v="1"/>
    <n v="0"/>
    <n v="0"/>
    <n v="0"/>
  </r>
  <r>
    <s v="20190818131415p"/>
    <x v="17"/>
    <s v="pageview"/>
    <x v="0"/>
    <n v="1"/>
    <x v="3"/>
    <s v="Windows XP (32-Bit)"/>
    <n v="1"/>
    <n v="0"/>
    <n v="0"/>
    <n v="0"/>
    <n v="0"/>
  </r>
  <r>
    <s v="20190818131415p"/>
    <x v="17"/>
    <s v="pageview"/>
    <x v="4"/>
    <n v="1"/>
    <x v="4"/>
    <s v="Windows 8 Professional"/>
    <n v="1"/>
    <n v="0"/>
    <n v="0"/>
    <n v="0"/>
    <n v="0"/>
  </r>
  <r>
    <s v="20190818131415e"/>
    <x v="17"/>
    <s v="event"/>
    <x v="2"/>
    <n v="1"/>
    <x v="4"/>
    <s v="Windows 8 Professional"/>
    <n v="0"/>
    <n v="1"/>
    <n v="0"/>
    <n v="0"/>
    <n v="0"/>
  </r>
  <r>
    <s v="20190819131415p"/>
    <x v="18"/>
    <s v="pageview"/>
    <x v="5"/>
    <n v="1"/>
    <x v="0"/>
    <s v="Windows 8 Professional"/>
    <n v="1"/>
    <n v="0"/>
    <n v="0"/>
    <n v="0"/>
    <n v="0"/>
  </r>
  <r>
    <s v="20190819131415p"/>
    <x v="18"/>
    <s v="pageview"/>
    <x v="0"/>
    <n v="1"/>
    <x v="0"/>
    <s v="Windows 8 Professional"/>
    <n v="1"/>
    <n v="0"/>
    <n v="0"/>
    <n v="0"/>
    <n v="0"/>
  </r>
  <r>
    <s v="20190819131415p"/>
    <x v="18"/>
    <s v="pageview"/>
    <x v="3"/>
    <n v="1"/>
    <x v="5"/>
    <s v="Windows 8 Professional"/>
    <n v="1"/>
    <n v="0"/>
    <n v="0"/>
    <n v="0"/>
    <n v="0"/>
  </r>
  <r>
    <s v="20190819131415p"/>
    <x v="18"/>
    <s v="pageview"/>
    <x v="3"/>
    <n v="1"/>
    <x v="1"/>
    <s v="Windows XP (32-Bit)"/>
    <n v="1"/>
    <n v="0"/>
    <n v="0"/>
    <n v="0"/>
    <n v="0"/>
  </r>
  <r>
    <s v="20190819131415o"/>
    <x v="18"/>
    <s v="open"/>
    <x v="2"/>
    <n v="1"/>
    <x v="1"/>
    <s v="Windows XP (32-Bit)"/>
    <n v="0"/>
    <n v="0"/>
    <n v="1"/>
    <n v="0"/>
    <n v="0"/>
  </r>
  <r>
    <s v="20190819131415p"/>
    <x v="18"/>
    <s v="pageview"/>
    <x v="4"/>
    <n v="1"/>
    <x v="1"/>
    <s v="Windows XP (32-Bit)"/>
    <n v="1"/>
    <n v="0"/>
    <n v="0"/>
    <n v="0"/>
    <n v="0"/>
  </r>
  <r>
    <s v="20190819131415p"/>
    <x v="18"/>
    <s v="pageview"/>
    <x v="2"/>
    <n v="1"/>
    <x v="2"/>
    <s v="Windows XP (32-Bit)"/>
    <n v="1"/>
    <n v="0"/>
    <n v="0"/>
    <n v="0"/>
    <n v="0"/>
  </r>
  <r>
    <s v="20190820131415s"/>
    <x v="19"/>
    <s v="save"/>
    <x v="4"/>
    <n v="1"/>
    <x v="0"/>
    <s v="Windows 8 Professional"/>
    <n v="0"/>
    <n v="0"/>
    <n v="0"/>
    <n v="1"/>
    <n v="0"/>
  </r>
  <r>
    <s v="20190820131415o"/>
    <x v="19"/>
    <s v="open"/>
    <x v="5"/>
    <n v="1"/>
    <x v="5"/>
    <s v="Windows 8 Professional"/>
    <n v="0"/>
    <n v="0"/>
    <n v="1"/>
    <n v="0"/>
    <n v="0"/>
  </r>
  <r>
    <s v="20190820131415p"/>
    <x v="19"/>
    <s v="pageview"/>
    <x v="0"/>
    <n v="1"/>
    <x v="5"/>
    <s v="Windows 8 Professional"/>
    <n v="1"/>
    <n v="0"/>
    <n v="0"/>
    <n v="0"/>
    <n v="0"/>
  </r>
  <r>
    <s v="20190820131415p"/>
    <x v="19"/>
    <s v="pageview"/>
    <x v="1"/>
    <n v="1"/>
    <x v="1"/>
    <s v="Windows XP (32-Bit)"/>
    <n v="1"/>
    <n v="0"/>
    <n v="0"/>
    <n v="0"/>
    <n v="0"/>
  </r>
  <r>
    <s v="20190820131415p"/>
    <x v="19"/>
    <s v="pageview"/>
    <x v="2"/>
    <n v="1"/>
    <x v="4"/>
    <s v="Windows 8 Professional"/>
    <n v="1"/>
    <n v="0"/>
    <n v="0"/>
    <n v="0"/>
    <n v="0"/>
  </r>
  <r>
    <s v="20190821131415s"/>
    <x v="20"/>
    <s v="save"/>
    <x v="4"/>
    <n v="1"/>
    <x v="0"/>
    <s v="Windows 8 Professional"/>
    <n v="0"/>
    <n v="0"/>
    <n v="0"/>
    <n v="1"/>
    <n v="0"/>
  </r>
  <r>
    <s v="20190821131415p"/>
    <x v="20"/>
    <s v="pageview"/>
    <x v="4"/>
    <n v="1"/>
    <x v="0"/>
    <s v="Windows 8 Professional"/>
    <n v="1"/>
    <n v="0"/>
    <n v="0"/>
    <n v="0"/>
    <n v="0"/>
  </r>
  <r>
    <s v="20190821131415p"/>
    <x v="20"/>
    <s v="pageview"/>
    <x v="4"/>
    <n v="1"/>
    <x v="0"/>
    <s v="Windows 8 Professional"/>
    <n v="1"/>
    <n v="0"/>
    <n v="0"/>
    <n v="0"/>
    <n v="0"/>
  </r>
  <r>
    <s v="20190821131415e"/>
    <x v="20"/>
    <s v="event"/>
    <x v="3"/>
    <n v="1"/>
    <x v="0"/>
    <s v="Windows 8 Professional"/>
    <n v="0"/>
    <n v="1"/>
    <n v="0"/>
    <n v="0"/>
    <n v="0"/>
  </r>
  <r>
    <s v="20190821131415p"/>
    <x v="20"/>
    <s v="pageview"/>
    <x v="3"/>
    <n v="1"/>
    <x v="1"/>
    <s v="Windows XP (32-Bit)"/>
    <n v="1"/>
    <n v="0"/>
    <n v="0"/>
    <n v="0"/>
    <n v="0"/>
  </r>
  <r>
    <s v="20190821131415p"/>
    <x v="20"/>
    <s v="pageview"/>
    <x v="3"/>
    <n v="1"/>
    <x v="1"/>
    <s v="Windows XP (32-Bit)"/>
    <n v="1"/>
    <n v="0"/>
    <n v="0"/>
    <n v="0"/>
    <n v="0"/>
  </r>
  <r>
    <s v="20190821131415p"/>
    <x v="20"/>
    <s v="pageview"/>
    <x v="4"/>
    <n v="1"/>
    <x v="1"/>
    <s v="Windows XP (32-Bit)"/>
    <n v="1"/>
    <n v="0"/>
    <n v="0"/>
    <n v="0"/>
    <n v="0"/>
  </r>
  <r>
    <s v="20190821131415e"/>
    <x v="20"/>
    <s v="event"/>
    <x v="0"/>
    <n v="1"/>
    <x v="1"/>
    <s v="Windows XP (32-Bit)"/>
    <n v="0"/>
    <n v="1"/>
    <n v="0"/>
    <n v="0"/>
    <n v="0"/>
  </r>
  <r>
    <s v="20190821131415s"/>
    <x v="20"/>
    <s v="save"/>
    <x v="2"/>
    <n v="1"/>
    <x v="2"/>
    <s v="Windows XP (32-Bit)"/>
    <n v="0"/>
    <n v="0"/>
    <n v="0"/>
    <n v="1"/>
    <n v="0"/>
  </r>
  <r>
    <s v="20190821131415e"/>
    <x v="20"/>
    <s v="event"/>
    <x v="3"/>
    <n v="1"/>
    <x v="3"/>
    <s v="Windows XP (32-Bit)"/>
    <n v="0"/>
    <n v="1"/>
    <n v="0"/>
    <n v="0"/>
    <n v="0"/>
  </r>
  <r>
    <s v="20190821131415s"/>
    <x v="20"/>
    <s v="save"/>
    <x v="2"/>
    <n v="1"/>
    <x v="3"/>
    <s v="Windows XP (32-Bit)"/>
    <n v="0"/>
    <n v="0"/>
    <n v="0"/>
    <n v="1"/>
    <n v="0"/>
  </r>
  <r>
    <s v="20190822131415p"/>
    <x v="21"/>
    <s v="pageview"/>
    <x v="5"/>
    <n v="1"/>
    <x v="5"/>
    <s v="Windows 8 Professional"/>
    <n v="1"/>
    <n v="0"/>
    <n v="0"/>
    <n v="0"/>
    <n v="0"/>
  </r>
  <r>
    <s v="20190822131415o"/>
    <x v="21"/>
    <s v="open"/>
    <x v="0"/>
    <n v="1"/>
    <x v="5"/>
    <s v="Windows 8 Professional"/>
    <n v="0"/>
    <n v="0"/>
    <n v="1"/>
    <n v="0"/>
    <n v="0"/>
  </r>
  <r>
    <s v="20190822131415p"/>
    <x v="21"/>
    <s v="pageview"/>
    <x v="4"/>
    <n v="1"/>
    <x v="2"/>
    <s v="Windows XP (32-Bit)"/>
    <n v="1"/>
    <n v="0"/>
    <n v="0"/>
    <n v="0"/>
    <n v="0"/>
  </r>
  <r>
    <s v="20190822131415p"/>
    <x v="21"/>
    <s v="pageview"/>
    <x v="1"/>
    <n v="1"/>
    <x v="2"/>
    <s v="Windows XP (32-Bit)"/>
    <n v="1"/>
    <n v="0"/>
    <n v="0"/>
    <n v="0"/>
    <n v="0"/>
  </r>
  <r>
    <s v="20190822131415p"/>
    <x v="21"/>
    <s v="pageview"/>
    <x v="5"/>
    <n v="1"/>
    <x v="2"/>
    <s v="Windows XP (32-Bit)"/>
    <n v="1"/>
    <n v="0"/>
    <n v="0"/>
    <n v="0"/>
    <n v="0"/>
  </r>
  <r>
    <s v="20190822131415p"/>
    <x v="21"/>
    <s v="pageview"/>
    <x v="2"/>
    <n v="1"/>
    <x v="3"/>
    <s v="Windows XP (32-Bit)"/>
    <n v="1"/>
    <n v="0"/>
    <n v="0"/>
    <n v="0"/>
    <n v="0"/>
  </r>
  <r>
    <s v="20190822131415p"/>
    <x v="21"/>
    <s v="pageview"/>
    <x v="0"/>
    <n v="1"/>
    <x v="3"/>
    <s v="Windows XP (32-Bit)"/>
    <n v="1"/>
    <n v="0"/>
    <n v="0"/>
    <n v="0"/>
    <n v="0"/>
  </r>
  <r>
    <s v="20190822131415e"/>
    <x v="21"/>
    <s v="event"/>
    <x v="0"/>
    <n v="1"/>
    <x v="3"/>
    <s v="Windows XP (32-Bit)"/>
    <n v="0"/>
    <n v="1"/>
    <n v="0"/>
    <n v="0"/>
    <n v="0"/>
  </r>
  <r>
    <s v="20190822131415p"/>
    <x v="21"/>
    <s v="pageview"/>
    <x v="4"/>
    <n v="1"/>
    <x v="3"/>
    <s v="Windows XP (32-Bit)"/>
    <n v="1"/>
    <n v="0"/>
    <n v="0"/>
    <n v="0"/>
    <n v="0"/>
  </r>
  <r>
    <s v="20190822131415e"/>
    <x v="21"/>
    <s v="event"/>
    <x v="3"/>
    <n v="1"/>
    <x v="3"/>
    <s v="Windows XP (32-Bit)"/>
    <n v="0"/>
    <n v="1"/>
    <n v="0"/>
    <n v="0"/>
    <n v="0"/>
  </r>
  <r>
    <s v="20190822131415p"/>
    <x v="21"/>
    <s v="pageview"/>
    <x v="0"/>
    <n v="1"/>
    <x v="4"/>
    <s v="Windows 8 Professional"/>
    <n v="1"/>
    <n v="0"/>
    <n v="0"/>
    <n v="0"/>
    <n v="0"/>
  </r>
  <r>
    <s v="20190822131415p"/>
    <x v="21"/>
    <s v="pageview"/>
    <x v="0"/>
    <n v="1"/>
    <x v="4"/>
    <s v="Windows 8 Professional"/>
    <n v="1"/>
    <n v="0"/>
    <n v="0"/>
    <n v="0"/>
    <n v="0"/>
  </r>
  <r>
    <s v="20190822131415p"/>
    <x v="21"/>
    <s v="pageview"/>
    <x v="1"/>
    <n v="1"/>
    <x v="4"/>
    <s v="Windows 8 Professional"/>
    <n v="1"/>
    <n v="0"/>
    <n v="0"/>
    <n v="0"/>
    <n v="0"/>
  </r>
  <r>
    <s v="20190822131415e"/>
    <x v="21"/>
    <s v="event"/>
    <x v="0"/>
    <n v="1"/>
    <x v="4"/>
    <s v="Windows 8 Professional"/>
    <n v="0"/>
    <n v="1"/>
    <n v="0"/>
    <n v="0"/>
    <n v="0"/>
  </r>
  <r>
    <s v="20190823131415s"/>
    <x v="22"/>
    <s v="save"/>
    <x v="5"/>
    <n v="1"/>
    <x v="0"/>
    <s v="Windows 8 Professional"/>
    <n v="0"/>
    <n v="0"/>
    <n v="0"/>
    <n v="1"/>
    <n v="0"/>
  </r>
  <r>
    <s v="20190823131415o"/>
    <x v="22"/>
    <s v="open"/>
    <x v="1"/>
    <n v="1"/>
    <x v="0"/>
    <s v="Windows 8 Professional"/>
    <n v="0"/>
    <n v="0"/>
    <n v="1"/>
    <n v="0"/>
    <n v="0"/>
  </r>
  <r>
    <s v="20190823131415p"/>
    <x v="22"/>
    <s v="pageview"/>
    <x v="5"/>
    <n v="1"/>
    <x v="5"/>
    <s v="Windows 8 Professional"/>
    <n v="1"/>
    <n v="0"/>
    <n v="0"/>
    <n v="0"/>
    <n v="0"/>
  </r>
  <r>
    <s v="20190823131415p"/>
    <x v="22"/>
    <s v="pageview"/>
    <x v="1"/>
    <n v="1"/>
    <x v="1"/>
    <s v="Windows XP (32-Bit)"/>
    <n v="1"/>
    <n v="0"/>
    <n v="0"/>
    <n v="0"/>
    <n v="0"/>
  </r>
  <r>
    <s v="20190823131415p"/>
    <x v="22"/>
    <s v="pageview"/>
    <x v="5"/>
    <n v="1"/>
    <x v="2"/>
    <s v="Windows XP (32-Bit)"/>
    <n v="1"/>
    <n v="0"/>
    <n v="0"/>
    <n v="0"/>
    <n v="0"/>
  </r>
  <r>
    <s v="20190823131415p"/>
    <x v="22"/>
    <s v="pageview"/>
    <x v="2"/>
    <n v="1"/>
    <x v="3"/>
    <s v="Windows XP (32-Bit)"/>
    <n v="1"/>
    <n v="0"/>
    <n v="0"/>
    <n v="0"/>
    <n v="0"/>
  </r>
  <r>
    <s v="20190823131415s"/>
    <x v="22"/>
    <s v="save"/>
    <x v="5"/>
    <n v="1"/>
    <x v="3"/>
    <s v="Windows XP (32-Bit)"/>
    <n v="0"/>
    <n v="0"/>
    <n v="0"/>
    <n v="1"/>
    <n v="0"/>
  </r>
  <r>
    <s v="20190824131415p"/>
    <x v="23"/>
    <s v="pageview"/>
    <x v="4"/>
    <n v="1"/>
    <x v="0"/>
    <s v="Windows 8 Professional"/>
    <n v="1"/>
    <n v="0"/>
    <n v="0"/>
    <n v="0"/>
    <n v="0"/>
  </r>
  <r>
    <s v="20190824131415p"/>
    <x v="23"/>
    <s v="pageview"/>
    <x v="2"/>
    <n v="1"/>
    <x v="5"/>
    <s v="Windows 8 Professional"/>
    <n v="1"/>
    <n v="0"/>
    <n v="0"/>
    <n v="0"/>
    <n v="0"/>
  </r>
  <r>
    <s v="20190824131415p"/>
    <x v="23"/>
    <s v="pageview"/>
    <x v="5"/>
    <n v="1"/>
    <x v="5"/>
    <s v="Windows 8 Professional"/>
    <n v="1"/>
    <n v="0"/>
    <n v="0"/>
    <n v="0"/>
    <n v="0"/>
  </r>
  <r>
    <s v="20190824131415o"/>
    <x v="23"/>
    <s v="open"/>
    <x v="2"/>
    <n v="1"/>
    <x v="5"/>
    <s v="Windows 8 Professional"/>
    <n v="0"/>
    <n v="0"/>
    <n v="1"/>
    <n v="0"/>
    <n v="0"/>
  </r>
  <r>
    <s v="20190824131415p"/>
    <x v="23"/>
    <s v="pageview"/>
    <x v="1"/>
    <n v="1"/>
    <x v="1"/>
    <s v="Windows XP (32-Bit)"/>
    <n v="1"/>
    <n v="0"/>
    <n v="0"/>
    <n v="0"/>
    <n v="0"/>
  </r>
  <r>
    <s v="20190824131415o"/>
    <x v="23"/>
    <s v="open"/>
    <x v="5"/>
    <n v="1"/>
    <x v="2"/>
    <s v="Windows XP (32-Bit)"/>
    <n v="0"/>
    <n v="0"/>
    <n v="1"/>
    <n v="0"/>
    <n v="0"/>
  </r>
  <r>
    <s v="20190824131415p"/>
    <x v="23"/>
    <s v="pageview"/>
    <x v="4"/>
    <n v="1"/>
    <x v="2"/>
    <s v="Windows XP (32-Bit)"/>
    <n v="1"/>
    <n v="0"/>
    <n v="0"/>
    <n v="0"/>
    <n v="0"/>
  </r>
  <r>
    <s v="20190824131415p"/>
    <x v="23"/>
    <s v="pageview"/>
    <x v="1"/>
    <n v="1"/>
    <x v="3"/>
    <s v="Windows XP (32-Bit)"/>
    <n v="1"/>
    <n v="0"/>
    <n v="0"/>
    <n v="0"/>
    <n v="0"/>
  </r>
  <r>
    <s v="20190824131415p"/>
    <x v="23"/>
    <s v="pageview"/>
    <x v="4"/>
    <n v="1"/>
    <x v="3"/>
    <s v="Windows XP (32-Bit)"/>
    <n v="1"/>
    <n v="0"/>
    <n v="0"/>
    <n v="0"/>
    <n v="0"/>
  </r>
  <r>
    <s v="20190824131415p"/>
    <x v="23"/>
    <s v="pageview"/>
    <x v="0"/>
    <n v="1"/>
    <x v="4"/>
    <s v="Windows 8 Professional"/>
    <n v="1"/>
    <n v="0"/>
    <n v="0"/>
    <n v="0"/>
    <n v="0"/>
  </r>
  <r>
    <s v="20190824131415p"/>
    <x v="23"/>
    <s v="pageview"/>
    <x v="0"/>
    <n v="1"/>
    <x v="4"/>
    <s v="Windows 8 Professional"/>
    <n v="1"/>
    <n v="0"/>
    <n v="0"/>
    <n v="0"/>
    <n v="0"/>
  </r>
  <r>
    <s v="20190824131415p"/>
    <x v="23"/>
    <s v="pageview"/>
    <x v="5"/>
    <n v="1"/>
    <x v="4"/>
    <s v="Windows 8 Professional"/>
    <n v="1"/>
    <n v="0"/>
    <n v="0"/>
    <n v="0"/>
    <n v="0"/>
  </r>
  <r>
    <s v="20190824131415p"/>
    <x v="23"/>
    <s v="pageview"/>
    <x v="4"/>
    <n v="1"/>
    <x v="4"/>
    <s v="Windows 8 Professional"/>
    <n v="1"/>
    <n v="0"/>
    <n v="0"/>
    <n v="0"/>
    <n v="0"/>
  </r>
  <r>
    <s v="20190824131415p"/>
    <x v="23"/>
    <s v="pageview"/>
    <x v="2"/>
    <n v="1"/>
    <x v="4"/>
    <s v="Windows 8 Professional"/>
    <n v="1"/>
    <n v="0"/>
    <n v="0"/>
    <n v="0"/>
    <n v="0"/>
  </r>
  <r>
    <s v="20190825131415p"/>
    <x v="24"/>
    <s v="pageview"/>
    <x v="5"/>
    <n v="1"/>
    <x v="0"/>
    <s v="Windows 8 Professional"/>
    <n v="1"/>
    <n v="0"/>
    <n v="0"/>
    <n v="0"/>
    <n v="0"/>
  </r>
  <r>
    <s v="20190825131415p"/>
    <x v="24"/>
    <s v="pageview"/>
    <x v="3"/>
    <n v="1"/>
    <x v="0"/>
    <s v="Windows 8 Professional"/>
    <n v="1"/>
    <n v="0"/>
    <n v="0"/>
    <n v="0"/>
    <n v="0"/>
  </r>
  <r>
    <s v="20190825131415p"/>
    <x v="24"/>
    <s v="pageview"/>
    <x v="0"/>
    <n v="1"/>
    <x v="5"/>
    <s v="Windows 8 Professional"/>
    <n v="1"/>
    <n v="0"/>
    <n v="0"/>
    <n v="0"/>
    <n v="0"/>
  </r>
  <r>
    <s v="20190825131415p"/>
    <x v="24"/>
    <s v="pageview"/>
    <x v="0"/>
    <n v="1"/>
    <x v="5"/>
    <s v="Windows 8 Professional"/>
    <n v="1"/>
    <n v="0"/>
    <n v="0"/>
    <n v="0"/>
    <n v="0"/>
  </r>
  <r>
    <s v="20190825131415p"/>
    <x v="24"/>
    <s v="pageview"/>
    <x v="1"/>
    <n v="1"/>
    <x v="1"/>
    <s v="Windows XP (32-Bit)"/>
    <n v="1"/>
    <n v="0"/>
    <n v="0"/>
    <n v="0"/>
    <n v="0"/>
  </r>
  <r>
    <s v="20190825131415p"/>
    <x v="24"/>
    <s v="pageview"/>
    <x v="3"/>
    <n v="1"/>
    <x v="1"/>
    <s v="Windows XP (32-Bit)"/>
    <n v="1"/>
    <n v="0"/>
    <n v="0"/>
    <n v="0"/>
    <n v="0"/>
  </r>
  <r>
    <s v="20190825131415p"/>
    <x v="24"/>
    <s v="pageview"/>
    <x v="5"/>
    <n v="1"/>
    <x v="2"/>
    <s v="Windows XP (32-Bit)"/>
    <n v="1"/>
    <n v="0"/>
    <n v="0"/>
    <n v="0"/>
    <n v="0"/>
  </r>
  <r>
    <s v="20190825131415p"/>
    <x v="24"/>
    <s v="pageview"/>
    <x v="2"/>
    <n v="1"/>
    <x v="2"/>
    <s v="Windows XP (32-Bit)"/>
    <n v="1"/>
    <n v="0"/>
    <n v="0"/>
    <n v="0"/>
    <n v="0"/>
  </r>
  <r>
    <s v="20190826131415p"/>
    <x v="25"/>
    <s v="pageview"/>
    <x v="5"/>
    <n v="1"/>
    <x v="5"/>
    <s v="Windows 8 Professional"/>
    <n v="1"/>
    <n v="0"/>
    <n v="0"/>
    <n v="0"/>
    <n v="0"/>
  </r>
  <r>
    <s v="20190826131415p"/>
    <x v="25"/>
    <s v="pageview"/>
    <x v="0"/>
    <n v="1"/>
    <x v="2"/>
    <s v="Windows XP (32-Bit)"/>
    <n v="1"/>
    <n v="0"/>
    <n v="0"/>
    <n v="0"/>
    <n v="0"/>
  </r>
  <r>
    <s v="20190826131415p"/>
    <x v="25"/>
    <s v="pageview"/>
    <x v="2"/>
    <n v="1"/>
    <x v="3"/>
    <s v="Windows XP (32-Bit)"/>
    <n v="1"/>
    <n v="0"/>
    <n v="0"/>
    <n v="0"/>
    <n v="0"/>
  </r>
  <r>
    <s v="20190826131415p"/>
    <x v="25"/>
    <s v="pageview"/>
    <x v="1"/>
    <n v="1"/>
    <x v="3"/>
    <s v="Windows XP (32-Bit)"/>
    <n v="1"/>
    <n v="0"/>
    <n v="0"/>
    <n v="0"/>
    <n v="0"/>
  </r>
  <r>
    <s v="20190826131415p"/>
    <x v="25"/>
    <s v="pageview"/>
    <x v="1"/>
    <n v="1"/>
    <x v="3"/>
    <s v="Windows XP (32-Bit)"/>
    <n v="1"/>
    <n v="0"/>
    <n v="0"/>
    <n v="0"/>
    <n v="0"/>
  </r>
  <r>
    <s v="20190827131415e"/>
    <x v="26"/>
    <s v="event"/>
    <x v="0"/>
    <n v="1"/>
    <x v="5"/>
    <s v="Windows 8 Professional"/>
    <n v="0"/>
    <n v="1"/>
    <n v="0"/>
    <n v="0"/>
    <n v="0"/>
  </r>
  <r>
    <s v="20190827131415p"/>
    <x v="26"/>
    <s v="pageview"/>
    <x v="0"/>
    <n v="1"/>
    <x v="5"/>
    <s v="Windows 8 Professional"/>
    <n v="1"/>
    <n v="0"/>
    <n v="0"/>
    <n v="0"/>
    <n v="0"/>
  </r>
  <r>
    <s v="20190827131415p"/>
    <x v="26"/>
    <s v="pageview"/>
    <x v="2"/>
    <n v="1"/>
    <x v="5"/>
    <s v="Windows 8 Professional"/>
    <n v="1"/>
    <n v="0"/>
    <n v="0"/>
    <n v="0"/>
    <n v="0"/>
  </r>
  <r>
    <s v="20190827131415p"/>
    <x v="26"/>
    <s v="pageview"/>
    <x v="1"/>
    <n v="1"/>
    <x v="1"/>
    <s v="Windows XP (32-Bit)"/>
    <n v="1"/>
    <n v="0"/>
    <n v="0"/>
    <n v="0"/>
    <n v="0"/>
  </r>
  <r>
    <s v="20190827131415p"/>
    <x v="26"/>
    <s v="pageview"/>
    <x v="4"/>
    <n v="1"/>
    <x v="2"/>
    <s v="Windows XP (32-Bit)"/>
    <n v="1"/>
    <n v="0"/>
    <n v="0"/>
    <n v="0"/>
    <n v="0"/>
  </r>
  <r>
    <s v="20190827131415p"/>
    <x v="26"/>
    <s v="pageview"/>
    <x v="2"/>
    <n v="1"/>
    <x v="2"/>
    <s v="Windows XP (32-Bit)"/>
    <n v="1"/>
    <n v="0"/>
    <n v="0"/>
    <n v="0"/>
    <n v="0"/>
  </r>
  <r>
    <s v="20190827131415p"/>
    <x v="26"/>
    <s v="pageview"/>
    <x v="4"/>
    <n v="1"/>
    <x v="2"/>
    <s v="Windows XP (32-Bit)"/>
    <n v="1"/>
    <n v="0"/>
    <n v="0"/>
    <n v="0"/>
    <n v="0"/>
  </r>
  <r>
    <s v="20190827131415o"/>
    <x v="26"/>
    <s v="open"/>
    <x v="4"/>
    <n v="1"/>
    <x v="2"/>
    <s v="Windows XP (32-Bit)"/>
    <n v="0"/>
    <n v="0"/>
    <n v="1"/>
    <n v="0"/>
    <n v="0"/>
  </r>
  <r>
    <s v="20190827131415p"/>
    <x v="26"/>
    <s v="pageview"/>
    <x v="5"/>
    <n v="1"/>
    <x v="2"/>
    <s v="Windows XP (32-Bit)"/>
    <n v="1"/>
    <n v="0"/>
    <n v="0"/>
    <n v="0"/>
    <n v="0"/>
  </r>
  <r>
    <s v="20190827131415p"/>
    <x v="26"/>
    <s v="pageview"/>
    <x v="1"/>
    <n v="1"/>
    <x v="3"/>
    <s v="Windows XP (32-Bit)"/>
    <n v="1"/>
    <n v="0"/>
    <n v="0"/>
    <n v="0"/>
    <n v="0"/>
  </r>
  <r>
    <s v="20190827131415p"/>
    <x v="26"/>
    <s v="pageview"/>
    <x v="2"/>
    <n v="1"/>
    <x v="3"/>
    <s v="Windows XP (32-Bit)"/>
    <n v="1"/>
    <n v="0"/>
    <n v="0"/>
    <n v="0"/>
    <n v="0"/>
  </r>
  <r>
    <s v="20190827131415p"/>
    <x v="26"/>
    <s v="pageview"/>
    <x v="0"/>
    <n v="1"/>
    <x v="4"/>
    <s v="Windows 8 Professional"/>
    <n v="1"/>
    <n v="0"/>
    <n v="0"/>
    <n v="0"/>
    <n v="0"/>
  </r>
  <r>
    <s v="20190827131415p"/>
    <x v="26"/>
    <s v="pageview"/>
    <x v="2"/>
    <n v="1"/>
    <x v="4"/>
    <s v="Windows 8 Professional"/>
    <n v="1"/>
    <n v="0"/>
    <n v="0"/>
    <n v="0"/>
    <n v="0"/>
  </r>
  <r>
    <s v="20190828131415p"/>
    <x v="27"/>
    <s v="pageview"/>
    <x v="3"/>
    <n v="1"/>
    <x v="2"/>
    <s v="Windows XP (32-Bit)"/>
    <n v="1"/>
    <n v="0"/>
    <n v="0"/>
    <n v="0"/>
    <n v="0"/>
  </r>
  <r>
    <s v="20190828131415p"/>
    <x v="27"/>
    <s v="pageview"/>
    <x v="1"/>
    <n v="1"/>
    <x v="2"/>
    <s v="Windows XP (32-Bit)"/>
    <n v="1"/>
    <n v="0"/>
    <n v="0"/>
    <n v="0"/>
    <n v="0"/>
  </r>
  <r>
    <s v="20190828131415p"/>
    <x v="27"/>
    <s v="pageview"/>
    <x v="1"/>
    <n v="1"/>
    <x v="2"/>
    <s v="Windows XP (32-Bit)"/>
    <n v="1"/>
    <n v="0"/>
    <n v="0"/>
    <n v="0"/>
    <n v="0"/>
  </r>
  <r>
    <s v="20190828131415e"/>
    <x v="27"/>
    <s v="event"/>
    <x v="5"/>
    <n v="1"/>
    <x v="2"/>
    <s v="Windows XP (32-Bit)"/>
    <n v="0"/>
    <n v="1"/>
    <n v="0"/>
    <n v="0"/>
    <n v="0"/>
  </r>
  <r>
    <s v="20190828131415p"/>
    <x v="27"/>
    <s v="pageview"/>
    <x v="1"/>
    <n v="1"/>
    <x v="3"/>
    <s v="Windows XP (32-Bit)"/>
    <n v="1"/>
    <n v="0"/>
    <n v="0"/>
    <n v="0"/>
    <n v="0"/>
  </r>
  <r>
    <s v="20190828131415p"/>
    <x v="27"/>
    <s v="pageview"/>
    <x v="3"/>
    <n v="1"/>
    <x v="4"/>
    <s v="Windows 8 Professional"/>
    <n v="1"/>
    <n v="0"/>
    <n v="0"/>
    <n v="0"/>
    <n v="0"/>
  </r>
  <r>
    <s v="20190829131415p"/>
    <x v="28"/>
    <s v="pageview"/>
    <x v="5"/>
    <n v="1"/>
    <x v="0"/>
    <s v="Windows 8 Professional"/>
    <n v="1"/>
    <n v="0"/>
    <n v="0"/>
    <n v="0"/>
    <n v="0"/>
  </r>
  <r>
    <s v="20190829131415o"/>
    <x v="28"/>
    <s v="open"/>
    <x v="5"/>
    <n v="1"/>
    <x v="0"/>
    <s v="Windows 8 Professional"/>
    <n v="0"/>
    <n v="0"/>
    <n v="1"/>
    <n v="0"/>
    <n v="0"/>
  </r>
  <r>
    <s v="20190829131415p"/>
    <x v="28"/>
    <s v="pageview"/>
    <x v="3"/>
    <n v="1"/>
    <x v="5"/>
    <s v="Windows 8 Professional"/>
    <n v="1"/>
    <n v="0"/>
    <n v="0"/>
    <n v="0"/>
    <n v="0"/>
  </r>
  <r>
    <s v="20190829131415o"/>
    <x v="28"/>
    <s v="open"/>
    <x v="1"/>
    <n v="1"/>
    <x v="5"/>
    <s v="Windows 8 Professional"/>
    <n v="0"/>
    <n v="0"/>
    <n v="1"/>
    <n v="0"/>
    <n v="0"/>
  </r>
  <r>
    <s v="20190829131415p"/>
    <x v="28"/>
    <s v="pageview"/>
    <x v="5"/>
    <n v="1"/>
    <x v="5"/>
    <s v="Windows 8 Professional"/>
    <n v="1"/>
    <n v="0"/>
    <n v="0"/>
    <n v="0"/>
    <n v="0"/>
  </r>
  <r>
    <s v="20190829131415p"/>
    <x v="28"/>
    <s v="pageview"/>
    <x v="4"/>
    <n v="1"/>
    <x v="1"/>
    <s v="Windows XP (32-Bit)"/>
    <n v="1"/>
    <n v="0"/>
    <n v="0"/>
    <n v="0"/>
    <n v="0"/>
  </r>
  <r>
    <s v="20190829131415p"/>
    <x v="28"/>
    <s v="pageview"/>
    <x v="5"/>
    <n v="1"/>
    <x v="1"/>
    <s v="Windows XP (32-Bit)"/>
    <n v="1"/>
    <n v="0"/>
    <n v="0"/>
    <n v="0"/>
    <n v="0"/>
  </r>
  <r>
    <s v="20190829131415e"/>
    <x v="28"/>
    <s v="event"/>
    <x v="4"/>
    <n v="1"/>
    <x v="1"/>
    <s v="Windows XP (32-Bit)"/>
    <n v="0"/>
    <n v="1"/>
    <n v="0"/>
    <n v="0"/>
    <n v="0"/>
  </r>
  <r>
    <s v="20190829131415p"/>
    <x v="28"/>
    <s v="pageview"/>
    <x v="0"/>
    <n v="1"/>
    <x v="3"/>
    <s v="Windows XP (32-Bit)"/>
    <n v="1"/>
    <n v="0"/>
    <n v="0"/>
    <n v="0"/>
    <n v="0"/>
  </r>
  <r>
    <s v="20190829131415e"/>
    <x v="28"/>
    <s v="event"/>
    <x v="0"/>
    <n v="1"/>
    <x v="4"/>
    <s v="Windows 8 Professional"/>
    <n v="0"/>
    <n v="1"/>
    <n v="0"/>
    <n v="0"/>
    <n v="0"/>
  </r>
  <r>
    <s v="20190829131415p"/>
    <x v="28"/>
    <s v="pageview"/>
    <x v="2"/>
    <n v="1"/>
    <x v="4"/>
    <s v="Windows 8 Professional"/>
    <n v="1"/>
    <n v="0"/>
    <n v="0"/>
    <n v="0"/>
    <n v="0"/>
  </r>
  <r>
    <s v="20190830131415p"/>
    <x v="29"/>
    <s v="pageview"/>
    <x v="1"/>
    <n v="1"/>
    <x v="5"/>
    <s v="Windows 8 Professional"/>
    <n v="1"/>
    <n v="0"/>
    <n v="0"/>
    <n v="0"/>
    <n v="0"/>
  </r>
  <r>
    <s v="20190830131415p"/>
    <x v="29"/>
    <s v="pageview"/>
    <x v="0"/>
    <n v="1"/>
    <x v="5"/>
    <s v="Windows 8 Professional"/>
    <n v="1"/>
    <n v="0"/>
    <n v="0"/>
    <n v="0"/>
    <n v="0"/>
  </r>
  <r>
    <s v="20190830131415p"/>
    <x v="29"/>
    <s v="pageview"/>
    <x v="1"/>
    <n v="1"/>
    <x v="1"/>
    <s v="Windows XP (32-Bit)"/>
    <n v="1"/>
    <n v="0"/>
    <n v="0"/>
    <n v="0"/>
    <n v="0"/>
  </r>
  <r>
    <s v="20190830131415p"/>
    <x v="29"/>
    <s v="pageview"/>
    <x v="1"/>
    <n v="1"/>
    <x v="1"/>
    <s v="Windows XP (32-Bit)"/>
    <n v="1"/>
    <n v="0"/>
    <n v="0"/>
    <n v="0"/>
    <n v="0"/>
  </r>
  <r>
    <s v="20190830131415p"/>
    <x v="29"/>
    <s v="pageview"/>
    <x v="2"/>
    <n v="1"/>
    <x v="2"/>
    <s v="Windows XP (32-Bit)"/>
    <n v="1"/>
    <n v="0"/>
    <n v="0"/>
    <n v="0"/>
    <n v="0"/>
  </r>
  <r>
    <s v="20190830131415o"/>
    <x v="29"/>
    <s v="open"/>
    <x v="1"/>
    <n v="1"/>
    <x v="3"/>
    <s v="Windows XP (32-Bit)"/>
    <n v="0"/>
    <n v="0"/>
    <n v="1"/>
    <n v="0"/>
    <n v="0"/>
  </r>
  <r>
    <s v="20190830131415o"/>
    <x v="29"/>
    <s v="open"/>
    <x v="4"/>
    <n v="1"/>
    <x v="3"/>
    <s v="Windows XP (32-Bit)"/>
    <n v="0"/>
    <n v="0"/>
    <n v="1"/>
    <n v="0"/>
    <n v="0"/>
  </r>
  <r>
    <s v="20190830131415p"/>
    <x v="29"/>
    <s v="pageview"/>
    <x v="4"/>
    <n v="1"/>
    <x v="3"/>
    <s v="Windows XP (32-Bit)"/>
    <n v="1"/>
    <n v="0"/>
    <n v="0"/>
    <n v="0"/>
    <n v="0"/>
  </r>
  <r>
    <s v="20190830131415p"/>
    <x v="29"/>
    <s v="pageview"/>
    <x v="0"/>
    <n v="1"/>
    <x v="3"/>
    <s v="Windows XP (32-Bit)"/>
    <n v="1"/>
    <n v="0"/>
    <n v="0"/>
    <n v="0"/>
    <n v="0"/>
  </r>
  <r>
    <s v="20190830131415p"/>
    <x v="29"/>
    <s v="pageview"/>
    <x v="2"/>
    <n v="1"/>
    <x v="4"/>
    <s v="Windows 8 Professional"/>
    <n v="1"/>
    <n v="0"/>
    <n v="0"/>
    <n v="0"/>
    <n v="0"/>
  </r>
  <r>
    <s v="20190901131415p"/>
    <x v="30"/>
    <s v="pageview"/>
    <x v="3"/>
    <n v="1"/>
    <x v="0"/>
    <s v="Windows 8 Professional"/>
    <n v="1"/>
    <n v="0"/>
    <n v="0"/>
    <n v="0"/>
    <n v="0"/>
  </r>
  <r>
    <s v="20190901131415p"/>
    <x v="30"/>
    <s v="pageview"/>
    <x v="5"/>
    <n v="1"/>
    <x v="0"/>
    <s v="Windows 8 Professional"/>
    <n v="1"/>
    <n v="0"/>
    <n v="0"/>
    <n v="0"/>
    <n v="0"/>
  </r>
  <r>
    <s v="20190901131415p"/>
    <x v="30"/>
    <s v="pageview"/>
    <x v="2"/>
    <n v="1"/>
    <x v="5"/>
    <s v="Windows 8 Professional"/>
    <n v="1"/>
    <n v="0"/>
    <n v="0"/>
    <n v="0"/>
    <n v="0"/>
  </r>
  <r>
    <s v="20190901131415s"/>
    <x v="30"/>
    <s v="save"/>
    <x v="5"/>
    <n v="1"/>
    <x v="5"/>
    <s v="Windows 8 Professional"/>
    <n v="0"/>
    <n v="0"/>
    <n v="0"/>
    <n v="1"/>
    <n v="0"/>
  </r>
  <r>
    <s v="20190901131415p"/>
    <x v="30"/>
    <s v="pageview"/>
    <x v="4"/>
    <n v="1"/>
    <x v="5"/>
    <s v="Windows 8 Professional"/>
    <n v="1"/>
    <n v="0"/>
    <n v="0"/>
    <n v="0"/>
    <n v="0"/>
  </r>
  <r>
    <s v="20190901131415p"/>
    <x v="30"/>
    <s v="pageview"/>
    <x v="2"/>
    <n v="1"/>
    <x v="1"/>
    <s v="Windows XP (32-Bit)"/>
    <n v="1"/>
    <n v="0"/>
    <n v="0"/>
    <n v="0"/>
    <n v="0"/>
  </r>
  <r>
    <s v="20190901131415p"/>
    <x v="30"/>
    <s v="pageview"/>
    <x v="4"/>
    <n v="1"/>
    <x v="1"/>
    <s v="Windows XP (32-Bit)"/>
    <n v="1"/>
    <n v="0"/>
    <n v="0"/>
    <n v="0"/>
    <n v="0"/>
  </r>
  <r>
    <s v="20190901131415p"/>
    <x v="30"/>
    <s v="pageview"/>
    <x v="2"/>
    <n v="1"/>
    <x v="1"/>
    <s v="Windows XP (32-Bit)"/>
    <n v="1"/>
    <n v="0"/>
    <n v="0"/>
    <n v="0"/>
    <n v="0"/>
  </r>
  <r>
    <s v="20190901131415s"/>
    <x v="30"/>
    <s v="save"/>
    <x v="2"/>
    <n v="1"/>
    <x v="2"/>
    <s v="Windows XP (32-Bit)"/>
    <n v="0"/>
    <n v="0"/>
    <n v="0"/>
    <n v="1"/>
    <n v="0"/>
  </r>
  <r>
    <s v="20190901131415p"/>
    <x v="30"/>
    <s v="pageview"/>
    <x v="1"/>
    <n v="1"/>
    <x v="3"/>
    <s v="Windows XP (32-Bit)"/>
    <n v="1"/>
    <n v="0"/>
    <n v="0"/>
    <n v="0"/>
    <n v="0"/>
  </r>
  <r>
    <s v="20190901131415p"/>
    <x v="30"/>
    <s v="pageview"/>
    <x v="2"/>
    <n v="1"/>
    <x v="3"/>
    <s v="Windows XP (32-Bit)"/>
    <n v="1"/>
    <n v="0"/>
    <n v="0"/>
    <n v="0"/>
    <n v="0"/>
  </r>
  <r>
    <s v="20190901131415p"/>
    <x v="30"/>
    <s v="pageview"/>
    <x v="3"/>
    <n v="1"/>
    <x v="4"/>
    <s v="Windows 8 Professional"/>
    <n v="1"/>
    <n v="0"/>
    <n v="0"/>
    <n v="0"/>
    <n v="0"/>
  </r>
  <r>
    <s v="20190901131415e"/>
    <x v="30"/>
    <s v="event"/>
    <x v="1"/>
    <n v="1"/>
    <x v="4"/>
    <s v="Windows 8 Professional"/>
    <n v="0"/>
    <n v="1"/>
    <n v="0"/>
    <n v="0"/>
    <n v="0"/>
  </r>
  <r>
    <s v="20190901131415p"/>
    <x v="30"/>
    <s v="pageview"/>
    <x v="3"/>
    <n v="1"/>
    <x v="4"/>
    <s v="Windows 8 Professional"/>
    <n v="1"/>
    <n v="0"/>
    <n v="0"/>
    <n v="0"/>
    <n v="0"/>
  </r>
  <r>
    <s v="20190901131415p"/>
    <x v="30"/>
    <s v="pageview"/>
    <x v="5"/>
    <n v="1"/>
    <x v="4"/>
    <s v="Windows 8 Professional"/>
    <n v="1"/>
    <n v="0"/>
    <n v="0"/>
    <n v="0"/>
    <n v="0"/>
  </r>
  <r>
    <s v="20190902131415e"/>
    <x v="31"/>
    <s v="event"/>
    <x v="5"/>
    <n v="1"/>
    <x v="1"/>
    <s v="Windows XP (32-Bit)"/>
    <n v="0"/>
    <n v="1"/>
    <n v="0"/>
    <n v="0"/>
    <n v="0"/>
  </r>
  <r>
    <s v="20190902131415o"/>
    <x v="31"/>
    <s v="open"/>
    <x v="4"/>
    <n v="1"/>
    <x v="2"/>
    <s v="Windows XP (32-Bit)"/>
    <n v="0"/>
    <n v="0"/>
    <n v="1"/>
    <n v="0"/>
    <n v="0"/>
  </r>
  <r>
    <s v="20190902131415p"/>
    <x v="31"/>
    <s v="pageview"/>
    <x v="5"/>
    <n v="1"/>
    <x v="3"/>
    <s v="Windows XP (32-Bit)"/>
    <n v="1"/>
    <n v="0"/>
    <n v="0"/>
    <n v="0"/>
    <n v="0"/>
  </r>
  <r>
    <s v="20190902131415p"/>
    <x v="31"/>
    <s v="pageview"/>
    <x v="2"/>
    <n v="1"/>
    <x v="3"/>
    <s v="Windows XP (32-Bit)"/>
    <n v="1"/>
    <n v="0"/>
    <n v="0"/>
    <n v="0"/>
    <n v="0"/>
  </r>
  <r>
    <s v="20190902131415p"/>
    <x v="31"/>
    <s v="pageview"/>
    <x v="3"/>
    <n v="1"/>
    <x v="3"/>
    <s v="Windows XP (32-Bit)"/>
    <n v="1"/>
    <n v="0"/>
    <n v="0"/>
    <n v="0"/>
    <n v="0"/>
  </r>
  <r>
    <s v="20190902131415o"/>
    <x v="31"/>
    <s v="open"/>
    <x v="3"/>
    <n v="1"/>
    <x v="3"/>
    <s v="Windows XP (32-Bit)"/>
    <n v="0"/>
    <n v="0"/>
    <n v="1"/>
    <n v="0"/>
    <n v="0"/>
  </r>
  <r>
    <s v="20190902131415p"/>
    <x v="31"/>
    <s v="pageview"/>
    <x v="2"/>
    <n v="1"/>
    <x v="3"/>
    <s v="Windows XP (32-Bit)"/>
    <n v="1"/>
    <n v="0"/>
    <n v="0"/>
    <n v="0"/>
    <n v="0"/>
  </r>
  <r>
    <s v="20190903131415p"/>
    <x v="32"/>
    <s v="pageview"/>
    <x v="4"/>
    <n v="1"/>
    <x v="0"/>
    <s v="Windows 8 Professional"/>
    <n v="1"/>
    <n v="0"/>
    <n v="0"/>
    <n v="0"/>
    <n v="0"/>
  </r>
  <r>
    <s v="20190903131415p"/>
    <x v="32"/>
    <s v="pageview"/>
    <x v="1"/>
    <n v="1"/>
    <x v="0"/>
    <s v="Windows 8 Professional"/>
    <n v="1"/>
    <n v="0"/>
    <n v="0"/>
    <n v="0"/>
    <n v="0"/>
  </r>
  <r>
    <s v="20190903131415s"/>
    <x v="32"/>
    <s v="save"/>
    <x v="5"/>
    <n v="1"/>
    <x v="5"/>
    <s v="Windows 8 Professional"/>
    <n v="0"/>
    <n v="0"/>
    <n v="0"/>
    <n v="1"/>
    <n v="0"/>
  </r>
  <r>
    <s v="20190903131415p"/>
    <x v="32"/>
    <s v="pageview"/>
    <x v="4"/>
    <n v="1"/>
    <x v="5"/>
    <s v="Windows 8 Professional"/>
    <n v="1"/>
    <n v="0"/>
    <n v="0"/>
    <n v="0"/>
    <n v="0"/>
  </r>
  <r>
    <s v="20190903131415p"/>
    <x v="32"/>
    <s v="pageview"/>
    <x v="2"/>
    <n v="1"/>
    <x v="5"/>
    <s v="Windows 8 Professional"/>
    <n v="1"/>
    <n v="0"/>
    <n v="0"/>
    <n v="0"/>
    <n v="0"/>
  </r>
  <r>
    <s v="20190903131415s"/>
    <x v="32"/>
    <s v="save"/>
    <x v="1"/>
    <n v="1"/>
    <x v="1"/>
    <s v="Windows XP (32-Bit)"/>
    <n v="0"/>
    <n v="0"/>
    <n v="0"/>
    <n v="1"/>
    <n v="0"/>
  </r>
  <r>
    <s v="20190903131415p"/>
    <x v="32"/>
    <s v="pageview"/>
    <x v="0"/>
    <n v="1"/>
    <x v="1"/>
    <s v="Windows XP (32-Bit)"/>
    <n v="1"/>
    <n v="0"/>
    <n v="0"/>
    <n v="0"/>
    <n v="0"/>
  </r>
  <r>
    <s v="20190903131415p"/>
    <x v="32"/>
    <s v="pageview"/>
    <x v="4"/>
    <n v="1"/>
    <x v="1"/>
    <s v="Windows XP (32-Bit)"/>
    <n v="1"/>
    <n v="0"/>
    <n v="0"/>
    <n v="0"/>
    <n v="0"/>
  </r>
  <r>
    <s v="20190903131415p"/>
    <x v="32"/>
    <s v="pageview"/>
    <x v="1"/>
    <n v="1"/>
    <x v="2"/>
    <s v="Windows XP (32-Bit)"/>
    <n v="1"/>
    <n v="0"/>
    <n v="0"/>
    <n v="0"/>
    <n v="0"/>
  </r>
  <r>
    <s v="20190903131415p"/>
    <x v="32"/>
    <s v="pageview"/>
    <x v="3"/>
    <n v="1"/>
    <x v="4"/>
    <s v="Windows 8 Professional"/>
    <n v="1"/>
    <n v="0"/>
    <n v="0"/>
    <n v="0"/>
    <n v="0"/>
  </r>
  <r>
    <s v="20190903131415e"/>
    <x v="32"/>
    <s v="event"/>
    <x v="1"/>
    <n v="1"/>
    <x v="4"/>
    <s v="Windows 8 Professional"/>
    <n v="0"/>
    <n v="1"/>
    <n v="0"/>
    <n v="0"/>
    <n v="0"/>
  </r>
  <r>
    <s v="20190904131415e"/>
    <x v="33"/>
    <s v="event"/>
    <x v="5"/>
    <n v="1"/>
    <x v="5"/>
    <s v="Windows 8 Professional"/>
    <n v="0"/>
    <n v="1"/>
    <n v="0"/>
    <n v="0"/>
    <n v="0"/>
  </r>
  <r>
    <s v="20190904131415p"/>
    <x v="33"/>
    <s v="pageview"/>
    <x v="5"/>
    <n v="1"/>
    <x v="5"/>
    <s v="Windows 8 Professional"/>
    <n v="1"/>
    <n v="0"/>
    <n v="0"/>
    <n v="0"/>
    <n v="0"/>
  </r>
  <r>
    <s v="20190904131415p"/>
    <x v="33"/>
    <s v="pageview"/>
    <x v="1"/>
    <n v="1"/>
    <x v="5"/>
    <s v="Windows 8 Professional"/>
    <n v="1"/>
    <n v="0"/>
    <n v="0"/>
    <n v="0"/>
    <n v="0"/>
  </r>
  <r>
    <s v="20190904131415p"/>
    <x v="33"/>
    <s v="pageview"/>
    <x v="2"/>
    <n v="1"/>
    <x v="3"/>
    <s v="Windows XP (32-Bit)"/>
    <n v="1"/>
    <n v="0"/>
    <n v="0"/>
    <n v="0"/>
    <n v="0"/>
  </r>
  <r>
    <s v="20190904131415e"/>
    <x v="33"/>
    <s v="event"/>
    <x v="4"/>
    <n v="1"/>
    <x v="3"/>
    <s v="Windows XP (32-Bit)"/>
    <n v="0"/>
    <n v="1"/>
    <n v="0"/>
    <n v="0"/>
    <n v="0"/>
  </r>
  <r>
    <s v="20190904131415p"/>
    <x v="33"/>
    <s v="pageview"/>
    <x v="2"/>
    <n v="1"/>
    <x v="4"/>
    <s v="Windows 8 Professional"/>
    <n v="1"/>
    <n v="0"/>
    <n v="0"/>
    <n v="0"/>
    <n v="0"/>
  </r>
  <r>
    <s v="20190904131415p"/>
    <x v="33"/>
    <s v="pageview"/>
    <x v="2"/>
    <n v="1"/>
    <x v="4"/>
    <s v="Windows 8 Professional"/>
    <n v="1"/>
    <n v="0"/>
    <n v="0"/>
    <n v="0"/>
    <n v="0"/>
  </r>
  <r>
    <s v="20190904131415p"/>
    <x v="33"/>
    <s v="pageview"/>
    <x v="2"/>
    <n v="1"/>
    <x v="4"/>
    <s v="Windows 8 Professional"/>
    <n v="1"/>
    <n v="0"/>
    <n v="0"/>
    <n v="0"/>
    <n v="0"/>
  </r>
  <r>
    <s v="20190905131415p"/>
    <x v="34"/>
    <s v="pageview"/>
    <x v="3"/>
    <n v="1"/>
    <x v="0"/>
    <s v="Windows 8 Professional"/>
    <n v="1"/>
    <n v="0"/>
    <n v="0"/>
    <n v="0"/>
    <n v="0"/>
  </r>
  <r>
    <s v="20190905131415s"/>
    <x v="34"/>
    <s v="save"/>
    <x v="1"/>
    <n v="1"/>
    <x v="0"/>
    <s v="Windows 8 Professional"/>
    <n v="0"/>
    <n v="0"/>
    <n v="0"/>
    <n v="1"/>
    <n v="0"/>
  </r>
  <r>
    <s v="20190905131415p"/>
    <x v="34"/>
    <s v="pageview"/>
    <x v="3"/>
    <n v="1"/>
    <x v="1"/>
    <s v="Windows XP (32-Bit)"/>
    <n v="1"/>
    <n v="0"/>
    <n v="0"/>
    <n v="0"/>
    <n v="0"/>
  </r>
  <r>
    <s v="20190905131415p"/>
    <x v="34"/>
    <s v="pageview"/>
    <x v="0"/>
    <n v="1"/>
    <x v="2"/>
    <s v="Windows XP (32-Bit)"/>
    <n v="1"/>
    <n v="0"/>
    <n v="0"/>
    <n v="0"/>
    <n v="0"/>
  </r>
  <r>
    <s v="20190905131415p"/>
    <x v="34"/>
    <s v="pageview"/>
    <x v="3"/>
    <n v="1"/>
    <x v="2"/>
    <s v="Windows XP (32-Bit)"/>
    <n v="1"/>
    <n v="0"/>
    <n v="0"/>
    <n v="0"/>
    <n v="0"/>
  </r>
  <r>
    <s v="20190905131415p"/>
    <x v="34"/>
    <s v="pageview"/>
    <x v="5"/>
    <n v="1"/>
    <x v="3"/>
    <s v="Windows XP (32-Bit)"/>
    <n v="1"/>
    <n v="0"/>
    <n v="0"/>
    <n v="0"/>
    <n v="0"/>
  </r>
  <r>
    <s v="20190905131415p"/>
    <x v="34"/>
    <s v="pageview"/>
    <x v="2"/>
    <n v="1"/>
    <x v="3"/>
    <s v="Windows XP (32-Bit)"/>
    <n v="1"/>
    <n v="0"/>
    <n v="0"/>
    <n v="0"/>
    <n v="0"/>
  </r>
  <r>
    <s v="20190905131415p"/>
    <x v="34"/>
    <s v="pageview"/>
    <x v="3"/>
    <n v="1"/>
    <x v="3"/>
    <s v="Windows XP (32-Bit)"/>
    <n v="1"/>
    <n v="0"/>
    <n v="0"/>
    <n v="0"/>
    <n v="0"/>
  </r>
  <r>
    <s v="20190905131415p"/>
    <x v="34"/>
    <s v="pageview"/>
    <x v="0"/>
    <n v="1"/>
    <x v="3"/>
    <s v="Windows XP (32-Bit)"/>
    <n v="1"/>
    <n v="0"/>
    <n v="0"/>
    <n v="0"/>
    <n v="0"/>
  </r>
  <r>
    <s v="20190905131415p"/>
    <x v="34"/>
    <s v="pageview"/>
    <x v="2"/>
    <n v="1"/>
    <x v="4"/>
    <s v="Windows 8 Professional"/>
    <n v="1"/>
    <n v="0"/>
    <n v="0"/>
    <n v="0"/>
    <n v="0"/>
  </r>
  <r>
    <s v="20190905131415p"/>
    <x v="34"/>
    <s v="pageview"/>
    <x v="3"/>
    <n v="1"/>
    <x v="4"/>
    <s v="Windows 8 Professional"/>
    <n v="1"/>
    <n v="0"/>
    <n v="0"/>
    <n v="0"/>
    <n v="0"/>
  </r>
  <r>
    <s v="20190906131415p"/>
    <x v="35"/>
    <s v="pageview"/>
    <x v="0"/>
    <n v="1"/>
    <x v="0"/>
    <s v="Windows 8 Professional"/>
    <n v="1"/>
    <n v="0"/>
    <n v="0"/>
    <n v="0"/>
    <n v="0"/>
  </r>
  <r>
    <s v="20190906131415e"/>
    <x v="35"/>
    <s v="event"/>
    <x v="1"/>
    <n v="1"/>
    <x v="5"/>
    <s v="Windows 8 Professional"/>
    <n v="0"/>
    <n v="1"/>
    <n v="0"/>
    <n v="0"/>
    <n v="0"/>
  </r>
  <r>
    <s v="20190906131415p"/>
    <x v="35"/>
    <s v="pageview"/>
    <x v="3"/>
    <n v="1"/>
    <x v="1"/>
    <s v="Windows XP (32-Bit)"/>
    <n v="1"/>
    <n v="0"/>
    <n v="0"/>
    <n v="0"/>
    <n v="0"/>
  </r>
  <r>
    <s v="20190906131415p"/>
    <x v="35"/>
    <s v="pageview"/>
    <x v="0"/>
    <n v="1"/>
    <x v="3"/>
    <s v="Windows XP (32-Bit)"/>
    <n v="1"/>
    <n v="0"/>
    <n v="0"/>
    <n v="0"/>
    <n v="0"/>
  </r>
  <r>
    <s v="20190906131415p"/>
    <x v="35"/>
    <s v="pageview"/>
    <x v="0"/>
    <n v="1"/>
    <x v="3"/>
    <s v="Windows XP (32-Bit)"/>
    <n v="1"/>
    <n v="0"/>
    <n v="0"/>
    <n v="0"/>
    <n v="0"/>
  </r>
  <r>
    <s v="20190906131415s"/>
    <x v="35"/>
    <s v="save"/>
    <x v="0"/>
    <n v="1"/>
    <x v="4"/>
    <s v="Windows 8 Professional"/>
    <n v="0"/>
    <n v="0"/>
    <n v="0"/>
    <n v="1"/>
    <n v="0"/>
  </r>
  <r>
    <s v="20190906131415p"/>
    <x v="35"/>
    <s v="pageview"/>
    <x v="1"/>
    <n v="1"/>
    <x v="4"/>
    <s v="Windows 8 Professional"/>
    <n v="1"/>
    <n v="0"/>
    <n v="0"/>
    <n v="0"/>
    <n v="0"/>
  </r>
  <r>
    <s v="20190907131415p"/>
    <x v="36"/>
    <s v="pageview"/>
    <x v="2"/>
    <n v="1"/>
    <x v="5"/>
    <s v="Windows 8 Professional"/>
    <n v="1"/>
    <n v="0"/>
    <n v="0"/>
    <n v="0"/>
    <n v="0"/>
  </r>
  <r>
    <s v="20190907131415s"/>
    <x v="36"/>
    <s v="save"/>
    <x v="1"/>
    <n v="1"/>
    <x v="5"/>
    <s v="Windows 8 Professional"/>
    <n v="0"/>
    <n v="0"/>
    <n v="0"/>
    <n v="1"/>
    <n v="0"/>
  </r>
  <r>
    <s v="20190907131415e"/>
    <x v="36"/>
    <s v="event"/>
    <x v="5"/>
    <n v="1"/>
    <x v="1"/>
    <s v="Windows XP (32-Bit)"/>
    <n v="0"/>
    <n v="1"/>
    <n v="0"/>
    <n v="0"/>
    <n v="0"/>
  </r>
  <r>
    <s v="20190907131415p"/>
    <x v="36"/>
    <s v="pageview"/>
    <x v="5"/>
    <n v="1"/>
    <x v="2"/>
    <s v="Windows XP (32-Bit)"/>
    <n v="1"/>
    <n v="0"/>
    <n v="0"/>
    <n v="0"/>
    <n v="0"/>
  </r>
  <r>
    <s v="20190907131415p"/>
    <x v="36"/>
    <s v="pageview"/>
    <x v="2"/>
    <n v="1"/>
    <x v="2"/>
    <s v="Windows XP (32-Bit)"/>
    <n v="1"/>
    <n v="0"/>
    <n v="0"/>
    <n v="0"/>
    <n v="0"/>
  </r>
  <r>
    <s v="20190907131415p"/>
    <x v="36"/>
    <s v="pageview"/>
    <x v="2"/>
    <n v="1"/>
    <x v="2"/>
    <s v="Windows XP (32-Bit)"/>
    <n v="1"/>
    <n v="0"/>
    <n v="0"/>
    <n v="0"/>
    <n v="0"/>
  </r>
  <r>
    <s v="20190907131415p"/>
    <x v="36"/>
    <s v="pageview"/>
    <x v="2"/>
    <n v="1"/>
    <x v="2"/>
    <s v="Windows XP (32-Bit)"/>
    <n v="1"/>
    <n v="0"/>
    <n v="0"/>
    <n v="0"/>
    <n v="0"/>
  </r>
  <r>
    <s v="20190907131415p"/>
    <x v="36"/>
    <s v="pageview"/>
    <x v="2"/>
    <n v="1"/>
    <x v="4"/>
    <s v="Windows 8 Professional"/>
    <n v="1"/>
    <n v="0"/>
    <n v="0"/>
    <n v="0"/>
    <n v="0"/>
  </r>
  <r>
    <s v="20190908131415p"/>
    <x v="37"/>
    <s v="pageview"/>
    <x v="4"/>
    <n v="1"/>
    <x v="5"/>
    <s v="Windows 8 Professional"/>
    <n v="1"/>
    <n v="0"/>
    <n v="0"/>
    <n v="0"/>
    <n v="0"/>
  </r>
  <r>
    <s v="20190908131415e"/>
    <x v="37"/>
    <s v="event"/>
    <x v="4"/>
    <n v="1"/>
    <x v="1"/>
    <s v="Windows XP (32-Bit)"/>
    <n v="0"/>
    <n v="1"/>
    <n v="0"/>
    <n v="0"/>
    <n v="0"/>
  </r>
  <r>
    <s v="20190908131415e"/>
    <x v="37"/>
    <s v="event"/>
    <x v="4"/>
    <n v="1"/>
    <x v="1"/>
    <s v="Windows XP (32-Bit)"/>
    <n v="0"/>
    <n v="1"/>
    <n v="0"/>
    <n v="0"/>
    <n v="0"/>
  </r>
  <r>
    <s v="20190908131415p"/>
    <x v="37"/>
    <s v="pageview"/>
    <x v="1"/>
    <n v="1"/>
    <x v="1"/>
    <s v="Windows XP (32-Bit)"/>
    <n v="1"/>
    <n v="0"/>
    <n v="0"/>
    <n v="0"/>
    <n v="0"/>
  </r>
  <r>
    <s v="20190908131415e"/>
    <x v="37"/>
    <s v="event"/>
    <x v="4"/>
    <n v="1"/>
    <x v="3"/>
    <s v="Windows XP (32-Bit)"/>
    <n v="0"/>
    <n v="1"/>
    <n v="0"/>
    <n v="0"/>
    <n v="0"/>
  </r>
  <r>
    <s v="20190908131415p"/>
    <x v="37"/>
    <s v="pageview"/>
    <x v="3"/>
    <n v="1"/>
    <x v="3"/>
    <s v="Windows XP (32-Bit)"/>
    <n v="1"/>
    <n v="0"/>
    <n v="0"/>
    <n v="0"/>
    <n v="0"/>
  </r>
  <r>
    <s v="20190908131415p"/>
    <x v="37"/>
    <s v="pageview"/>
    <x v="4"/>
    <n v="1"/>
    <x v="3"/>
    <s v="Windows XP (32-Bit)"/>
    <n v="1"/>
    <n v="0"/>
    <n v="0"/>
    <n v="0"/>
    <n v="0"/>
  </r>
  <r>
    <s v="20190908131415p"/>
    <x v="37"/>
    <s v="pageview"/>
    <x v="1"/>
    <n v="1"/>
    <x v="3"/>
    <s v="Windows XP (32-Bit)"/>
    <n v="1"/>
    <n v="0"/>
    <n v="0"/>
    <n v="0"/>
    <n v="0"/>
  </r>
  <r>
    <s v="20190908131415s"/>
    <x v="37"/>
    <s v="save"/>
    <x v="0"/>
    <n v="1"/>
    <x v="3"/>
    <s v="Windows XP (32-Bit)"/>
    <n v="0"/>
    <n v="0"/>
    <n v="0"/>
    <n v="1"/>
    <n v="0"/>
  </r>
  <r>
    <s v="20190909131415p"/>
    <x v="38"/>
    <s v="pageview"/>
    <x v="2"/>
    <n v="1"/>
    <x v="0"/>
    <s v="Windows 8 Professional"/>
    <n v="1"/>
    <n v="0"/>
    <n v="0"/>
    <n v="0"/>
    <n v="0"/>
  </r>
  <r>
    <s v="20190909131415s"/>
    <x v="38"/>
    <s v="save"/>
    <x v="0"/>
    <n v="1"/>
    <x v="0"/>
    <s v="Windows 8 Professional"/>
    <n v="0"/>
    <n v="0"/>
    <n v="0"/>
    <n v="1"/>
    <n v="0"/>
  </r>
  <r>
    <s v="20190909131415p"/>
    <x v="38"/>
    <s v="pageview"/>
    <x v="5"/>
    <n v="1"/>
    <x v="5"/>
    <s v="Windows 8 Professional"/>
    <n v="1"/>
    <n v="0"/>
    <n v="0"/>
    <n v="0"/>
    <n v="0"/>
  </r>
  <r>
    <s v="20190909131415s"/>
    <x v="38"/>
    <s v="save"/>
    <x v="4"/>
    <n v="1"/>
    <x v="5"/>
    <s v="Windows 8 Professional"/>
    <n v="0"/>
    <n v="0"/>
    <n v="0"/>
    <n v="1"/>
    <n v="0"/>
  </r>
  <r>
    <s v="20190909131415p"/>
    <x v="38"/>
    <s v="pageview"/>
    <x v="1"/>
    <n v="1"/>
    <x v="5"/>
    <s v="Windows 8 Professional"/>
    <n v="1"/>
    <n v="0"/>
    <n v="0"/>
    <n v="0"/>
    <n v="0"/>
  </r>
  <r>
    <s v="20190909131415e"/>
    <x v="38"/>
    <s v="event"/>
    <x v="1"/>
    <n v="1"/>
    <x v="1"/>
    <s v="Windows XP (32-Bit)"/>
    <n v="0"/>
    <n v="1"/>
    <n v="0"/>
    <n v="0"/>
    <n v="0"/>
  </r>
  <r>
    <s v="20190909131415e"/>
    <x v="38"/>
    <s v="event"/>
    <x v="4"/>
    <n v="1"/>
    <x v="2"/>
    <s v="Windows XP (32-Bit)"/>
    <n v="0"/>
    <n v="1"/>
    <n v="0"/>
    <n v="0"/>
    <n v="0"/>
  </r>
  <r>
    <s v="20190909131415s"/>
    <x v="38"/>
    <s v="save"/>
    <x v="3"/>
    <n v="1"/>
    <x v="2"/>
    <s v="Windows XP (32-Bit)"/>
    <n v="0"/>
    <n v="0"/>
    <n v="0"/>
    <n v="1"/>
    <n v="0"/>
  </r>
  <r>
    <s v="20190909131415p"/>
    <x v="38"/>
    <s v="pageview"/>
    <x v="2"/>
    <n v="1"/>
    <x v="2"/>
    <s v="Windows XP (32-Bit)"/>
    <n v="1"/>
    <n v="0"/>
    <n v="0"/>
    <n v="0"/>
    <n v="0"/>
  </r>
  <r>
    <s v="20190909131415o"/>
    <x v="38"/>
    <s v="open"/>
    <x v="5"/>
    <n v="1"/>
    <x v="3"/>
    <s v="Windows XP (32-Bit)"/>
    <n v="0"/>
    <n v="0"/>
    <n v="1"/>
    <n v="0"/>
    <n v="0"/>
  </r>
  <r>
    <s v="20190909131415e"/>
    <x v="38"/>
    <s v="event"/>
    <x v="3"/>
    <n v="1"/>
    <x v="4"/>
    <s v="Windows 8 Professional"/>
    <n v="0"/>
    <n v="1"/>
    <n v="0"/>
    <n v="0"/>
    <n v="0"/>
  </r>
  <r>
    <s v="20190909131415p"/>
    <x v="38"/>
    <s v="pageview"/>
    <x v="2"/>
    <n v="1"/>
    <x v="4"/>
    <s v="Windows 8 Professional"/>
    <n v="1"/>
    <n v="0"/>
    <n v="0"/>
    <n v="0"/>
    <n v="0"/>
  </r>
  <r>
    <s v="20190909131415p"/>
    <x v="38"/>
    <s v="pageview"/>
    <x v="0"/>
    <n v="1"/>
    <x v="4"/>
    <s v="Windows 8 Professional"/>
    <n v="1"/>
    <n v="0"/>
    <n v="0"/>
    <n v="0"/>
    <n v="0"/>
  </r>
  <r>
    <s v="20190909131415p"/>
    <x v="38"/>
    <s v="pageview"/>
    <x v="0"/>
    <n v="1"/>
    <x v="4"/>
    <s v="Windows 8 Professional"/>
    <n v="1"/>
    <n v="0"/>
    <n v="0"/>
    <n v="0"/>
    <n v="0"/>
  </r>
  <r>
    <s v="20190910131415p"/>
    <x v="39"/>
    <s v="pageview"/>
    <x v="3"/>
    <n v="1"/>
    <x v="0"/>
    <s v="Windows 8 Professional"/>
    <n v="1"/>
    <n v="0"/>
    <n v="0"/>
    <n v="0"/>
    <n v="0"/>
  </r>
  <r>
    <s v="20190910131415s"/>
    <x v="39"/>
    <s v="save"/>
    <x v="1"/>
    <n v="1"/>
    <x v="5"/>
    <s v="Windows 8 Professional"/>
    <n v="0"/>
    <n v="0"/>
    <n v="0"/>
    <n v="1"/>
    <n v="0"/>
  </r>
  <r>
    <s v="20190910131415p"/>
    <x v="39"/>
    <s v="pageview"/>
    <x v="4"/>
    <n v="1"/>
    <x v="2"/>
    <s v="Windows XP (32-Bit)"/>
    <n v="1"/>
    <n v="0"/>
    <n v="0"/>
    <n v="0"/>
    <n v="0"/>
  </r>
  <r>
    <s v="20190910131415p"/>
    <x v="39"/>
    <s v="pageview"/>
    <x v="2"/>
    <n v="1"/>
    <x v="2"/>
    <s v="Windows XP (32-Bit)"/>
    <n v="1"/>
    <n v="0"/>
    <n v="0"/>
    <n v="0"/>
    <n v="0"/>
  </r>
  <r>
    <s v="20190910131415o"/>
    <x v="39"/>
    <s v="open"/>
    <x v="0"/>
    <n v="1"/>
    <x v="3"/>
    <s v="Windows XP (32-Bit)"/>
    <n v="0"/>
    <n v="0"/>
    <n v="1"/>
    <n v="0"/>
    <n v="0"/>
  </r>
  <r>
    <s v="20190910131415p"/>
    <x v="39"/>
    <s v="pageview"/>
    <x v="4"/>
    <n v="1"/>
    <x v="4"/>
    <s v="Windows 8 Professional"/>
    <n v="1"/>
    <n v="0"/>
    <n v="0"/>
    <n v="0"/>
    <n v="0"/>
  </r>
  <r>
    <s v="20190910131415p"/>
    <x v="39"/>
    <s v="pageview"/>
    <x v="2"/>
    <n v="1"/>
    <x v="4"/>
    <s v="Windows 8 Professional"/>
    <n v="1"/>
    <n v="0"/>
    <n v="0"/>
    <n v="0"/>
    <n v="0"/>
  </r>
  <r>
    <s v="20190910131415p"/>
    <x v="39"/>
    <s v="pageview"/>
    <x v="1"/>
    <n v="1"/>
    <x v="4"/>
    <s v="Windows 8 Professional"/>
    <n v="1"/>
    <n v="0"/>
    <n v="0"/>
    <n v="0"/>
    <n v="0"/>
  </r>
  <r>
    <s v="20190911131415e"/>
    <x v="40"/>
    <s v="event"/>
    <x v="1"/>
    <n v="1"/>
    <x v="0"/>
    <s v="Windows 8 Professional"/>
    <n v="0"/>
    <n v="1"/>
    <n v="0"/>
    <n v="0"/>
    <n v="0"/>
  </r>
  <r>
    <s v="20190911131415o"/>
    <x v="40"/>
    <s v="open"/>
    <x v="0"/>
    <n v="1"/>
    <x v="0"/>
    <s v="Windows 8 Professional"/>
    <n v="0"/>
    <n v="0"/>
    <n v="1"/>
    <n v="0"/>
    <n v="0"/>
  </r>
  <r>
    <s v="20190911131415e"/>
    <x v="40"/>
    <s v="event"/>
    <x v="4"/>
    <n v="1"/>
    <x v="5"/>
    <s v="Windows 8 Professional"/>
    <n v="0"/>
    <n v="1"/>
    <n v="0"/>
    <n v="0"/>
    <n v="0"/>
  </r>
  <r>
    <s v="20190911131415p"/>
    <x v="40"/>
    <s v="pageview"/>
    <x v="5"/>
    <n v="1"/>
    <x v="1"/>
    <s v="Windows XP (32-Bit)"/>
    <n v="1"/>
    <n v="0"/>
    <n v="0"/>
    <n v="0"/>
    <n v="0"/>
  </r>
  <r>
    <s v="20190911131415s"/>
    <x v="40"/>
    <s v="save"/>
    <x v="0"/>
    <n v="1"/>
    <x v="3"/>
    <s v="Windows XP (32-Bit)"/>
    <n v="0"/>
    <n v="0"/>
    <n v="0"/>
    <n v="1"/>
    <n v="0"/>
  </r>
  <r>
    <s v="20190911131415p"/>
    <x v="40"/>
    <s v="pageview"/>
    <x v="4"/>
    <n v="1"/>
    <x v="3"/>
    <s v="Windows XP (32-Bit)"/>
    <n v="1"/>
    <n v="0"/>
    <n v="0"/>
    <n v="0"/>
    <n v="0"/>
  </r>
  <r>
    <s v="20190911131415p"/>
    <x v="40"/>
    <s v="pageview"/>
    <x v="3"/>
    <n v="1"/>
    <x v="3"/>
    <s v="Windows XP (32-Bit)"/>
    <n v="1"/>
    <n v="0"/>
    <n v="0"/>
    <n v="0"/>
    <n v="0"/>
  </r>
  <r>
    <s v="20190911131415p"/>
    <x v="40"/>
    <s v="pageview"/>
    <x v="5"/>
    <n v="1"/>
    <x v="3"/>
    <s v="Windows XP (32-Bit)"/>
    <n v="1"/>
    <n v="0"/>
    <n v="0"/>
    <n v="0"/>
    <n v="0"/>
  </r>
  <r>
    <s v="20190912131415e"/>
    <x v="41"/>
    <s v="event"/>
    <x v="5"/>
    <n v="1"/>
    <x v="0"/>
    <s v="Windows 8 Professional"/>
    <n v="0"/>
    <n v="1"/>
    <n v="0"/>
    <n v="0"/>
    <n v="0"/>
  </r>
  <r>
    <s v="20190912131415p"/>
    <x v="41"/>
    <s v="pageview"/>
    <x v="2"/>
    <n v="1"/>
    <x v="0"/>
    <s v="Windows 8 Professional"/>
    <n v="1"/>
    <n v="0"/>
    <n v="0"/>
    <n v="0"/>
    <n v="0"/>
  </r>
  <r>
    <s v="20190912131415p"/>
    <x v="41"/>
    <s v="pageview"/>
    <x v="5"/>
    <n v="1"/>
    <x v="5"/>
    <s v="Windows 8 Professional"/>
    <n v="1"/>
    <n v="0"/>
    <n v="0"/>
    <n v="0"/>
    <n v="0"/>
  </r>
  <r>
    <s v="20190912131415e"/>
    <x v="41"/>
    <s v="event"/>
    <x v="0"/>
    <n v="1"/>
    <x v="5"/>
    <s v="Windows 8 Professional"/>
    <n v="0"/>
    <n v="1"/>
    <n v="0"/>
    <n v="0"/>
    <n v="0"/>
  </r>
  <r>
    <s v="20190912131415p"/>
    <x v="41"/>
    <s v="pageview"/>
    <x v="5"/>
    <n v="1"/>
    <x v="1"/>
    <s v="Windows XP (32-Bit)"/>
    <n v="1"/>
    <n v="0"/>
    <n v="0"/>
    <n v="0"/>
    <n v="0"/>
  </r>
  <r>
    <s v="20190912131415p"/>
    <x v="41"/>
    <s v="pageview"/>
    <x v="3"/>
    <n v="1"/>
    <x v="2"/>
    <s v="Windows XP (32-Bit)"/>
    <n v="1"/>
    <n v="0"/>
    <n v="0"/>
    <n v="0"/>
    <n v="0"/>
  </r>
  <r>
    <s v="20190912131415p"/>
    <x v="41"/>
    <s v="pageview"/>
    <x v="3"/>
    <n v="1"/>
    <x v="2"/>
    <s v="Windows XP (32-Bit)"/>
    <n v="1"/>
    <n v="0"/>
    <n v="0"/>
    <n v="0"/>
    <n v="0"/>
  </r>
  <r>
    <s v="20190912131415p"/>
    <x v="41"/>
    <s v="pageview"/>
    <x v="3"/>
    <n v="1"/>
    <x v="3"/>
    <s v="Windows XP (32-Bit)"/>
    <n v="1"/>
    <n v="0"/>
    <n v="0"/>
    <n v="0"/>
    <n v="0"/>
  </r>
  <r>
    <s v="20190912131415s"/>
    <x v="41"/>
    <s v="save"/>
    <x v="4"/>
    <n v="1"/>
    <x v="4"/>
    <s v="Windows 8 Professional"/>
    <n v="0"/>
    <n v="0"/>
    <n v="0"/>
    <n v="1"/>
    <n v="0"/>
  </r>
  <r>
    <s v="20190912131415p"/>
    <x v="41"/>
    <s v="pageview"/>
    <x v="5"/>
    <n v="1"/>
    <x v="4"/>
    <s v="Windows 8 Professional"/>
    <n v="1"/>
    <n v="0"/>
    <n v="0"/>
    <n v="0"/>
    <n v="0"/>
  </r>
  <r>
    <s v="20190913110254p"/>
    <x v="42"/>
    <s v="pageview"/>
    <x v="6"/>
    <n v="1"/>
    <x v="6"/>
    <s v="Windows (32-bit) NT 10.00"/>
    <n v="1"/>
    <n v="0"/>
    <n v="0"/>
    <n v="0"/>
    <n v="0"/>
  </r>
  <r>
    <s v="20190913113110p"/>
    <x v="43"/>
    <s v="pageview"/>
    <x v="6"/>
    <n v="1"/>
    <x v="6"/>
    <s v="Windows (32-bit) NT 10.00"/>
    <n v="1"/>
    <n v="0"/>
    <n v="0"/>
    <n v="0"/>
    <n v="0"/>
  </r>
  <r>
    <s v="20190913113217p"/>
    <x v="44"/>
    <s v="pageview"/>
    <x v="3"/>
    <n v="1"/>
    <x v="6"/>
    <s v="Windows (32-bit) NT 10.00"/>
    <n v="1"/>
    <n v="0"/>
    <n v="0"/>
    <n v="0"/>
    <n v="0"/>
  </r>
  <r>
    <s v="20190913113217p"/>
    <x v="44"/>
    <s v="pageview"/>
    <x v="7"/>
    <n v="1"/>
    <x v="6"/>
    <s v="Windows (32-bit) NT 10.00"/>
    <n v="1"/>
    <n v="0"/>
    <n v="0"/>
    <n v="0"/>
    <n v="0"/>
  </r>
  <r>
    <s v="20190913113219p"/>
    <x v="45"/>
    <s v="pageview"/>
    <x v="5"/>
    <n v="1"/>
    <x v="6"/>
    <s v="Windows (32-bit) NT 10.00"/>
    <n v="1"/>
    <n v="0"/>
    <n v="0"/>
    <n v="0"/>
    <n v="0"/>
  </r>
  <r>
    <s v="20190913113220p"/>
    <x v="46"/>
    <s v="pageview"/>
    <x v="6"/>
    <n v="1"/>
    <x v="6"/>
    <s v="Windows (32-bit) NT 10.00"/>
    <n v="1"/>
    <n v="0"/>
    <n v="0"/>
    <n v="0"/>
    <n v="0"/>
  </r>
  <r>
    <s v="20190913113308p"/>
    <x v="47"/>
    <s v="pageview"/>
    <x v="3"/>
    <n v="1"/>
    <x v="6"/>
    <s v="Windows (32-bit) NT 10.00"/>
    <n v="1"/>
    <n v="0"/>
    <n v="0"/>
    <n v="0"/>
    <n v="0"/>
  </r>
  <r>
    <s v="20190913113310p"/>
    <x v="48"/>
    <s v="pageview"/>
    <x v="7"/>
    <n v="1"/>
    <x v="6"/>
    <s v="Windows (32-bit) NT 10.00"/>
    <n v="1"/>
    <n v="0"/>
    <n v="0"/>
    <n v="0"/>
    <n v="0"/>
  </r>
  <r>
    <s v="20190913113310p"/>
    <x v="48"/>
    <s v="pageview"/>
    <x v="5"/>
    <n v="1"/>
    <x v="6"/>
    <s v="Windows (32-bit) NT 10.00"/>
    <n v="1"/>
    <n v="0"/>
    <n v="0"/>
    <n v="0"/>
    <n v="0"/>
  </r>
  <r>
    <s v="20190913113311p"/>
    <x v="49"/>
    <s v="pageview"/>
    <x v="6"/>
    <n v="1"/>
    <x v="6"/>
    <s v="Windows (32-bit) NT 10.00"/>
    <n v="1"/>
    <n v="0"/>
    <n v="0"/>
    <n v="0"/>
    <n v="0"/>
  </r>
  <r>
    <s v="20190913113330p"/>
    <x v="50"/>
    <s v="pageview"/>
    <x v="3"/>
    <n v="1"/>
    <x v="6"/>
    <s v="Windows (32-bit) NT 10.00"/>
    <n v="1"/>
    <n v="0"/>
    <n v="0"/>
    <n v="0"/>
    <n v="0"/>
  </r>
  <r>
    <s v="20190913113332p"/>
    <x v="51"/>
    <s v="pageview"/>
    <x v="6"/>
    <n v="1"/>
    <x v="6"/>
    <s v="Windows (32-bit) NT 10.00"/>
    <n v="1"/>
    <n v="0"/>
    <n v="0"/>
    <n v="0"/>
    <n v="0"/>
  </r>
  <r>
    <s v="20190913114810p"/>
    <x v="52"/>
    <s v="pageview"/>
    <x v="7"/>
    <n v="1"/>
    <x v="6"/>
    <s v="Windows (32-bit) NT 10.00"/>
    <n v="1"/>
    <n v="0"/>
    <n v="0"/>
    <n v="0"/>
    <n v="0"/>
  </r>
  <r>
    <s v="20190913114812p"/>
    <x v="53"/>
    <s v="pageview"/>
    <x v="3"/>
    <n v="1"/>
    <x v="6"/>
    <s v="Windows (32-bit) NT 10.00"/>
    <n v="1"/>
    <n v="0"/>
    <n v="0"/>
    <n v="0"/>
    <n v="0"/>
  </r>
  <r>
    <s v="20190913114813p"/>
    <x v="54"/>
    <s v="pageview"/>
    <x v="6"/>
    <n v="1"/>
    <x v="6"/>
    <s v="Windows (32-bit) NT 10.00"/>
    <n v="1"/>
    <n v="0"/>
    <n v="0"/>
    <n v="0"/>
    <n v="0"/>
  </r>
  <r>
    <s v="20190913115000p"/>
    <x v="55"/>
    <s v="pageview"/>
    <x v="7"/>
    <n v="1"/>
    <x v="6"/>
    <s v="Windows (32-bit) NT 10.00"/>
    <n v="1"/>
    <n v="0"/>
    <n v="0"/>
    <n v="0"/>
    <n v="0"/>
  </r>
  <r>
    <s v="20190913115001p"/>
    <x v="56"/>
    <s v="pageview"/>
    <x v="6"/>
    <n v="1"/>
    <x v="6"/>
    <s v="Windows (32-bit) NT 10.00"/>
    <n v="1"/>
    <n v="0"/>
    <n v="0"/>
    <n v="0"/>
    <n v="0"/>
  </r>
  <r>
    <s v="20190913115029p"/>
    <x v="57"/>
    <s v="pageview"/>
    <x v="2"/>
    <n v="1"/>
    <x v="6"/>
    <s v="Windows (32-bit) NT 10.00"/>
    <n v="1"/>
    <n v="0"/>
    <n v="0"/>
    <n v="0"/>
    <n v="0"/>
  </r>
  <r>
    <s v="20190913115031p"/>
    <x v="58"/>
    <s v="pageview"/>
    <x v="6"/>
    <n v="1"/>
    <x v="6"/>
    <s v="Windows (32-bit) NT 10.00"/>
    <n v="1"/>
    <n v="0"/>
    <n v="0"/>
    <n v="0"/>
    <n v="0"/>
  </r>
  <r>
    <s v="20190913115033p"/>
    <x v="59"/>
    <s v="pageview"/>
    <x v="2"/>
    <n v="1"/>
    <x v="6"/>
    <s v="Windows (32-bit) NT 10.00"/>
    <n v="1"/>
    <n v="0"/>
    <n v="0"/>
    <n v="0"/>
    <n v="0"/>
  </r>
  <r>
    <s v="20190913115034p"/>
    <x v="60"/>
    <s v="pageview"/>
    <x v="6"/>
    <n v="1"/>
    <x v="6"/>
    <s v="Windows (32-bit) NT 10.00"/>
    <n v="1"/>
    <n v="0"/>
    <n v="0"/>
    <n v="0"/>
    <n v="0"/>
  </r>
  <r>
    <s v="20190913115038p"/>
    <x v="61"/>
    <s v="pageview"/>
    <x v="2"/>
    <n v="1"/>
    <x v="6"/>
    <s v="Windows (32-bit) NT 10.00"/>
    <n v="1"/>
    <n v="0"/>
    <n v="0"/>
    <n v="0"/>
    <n v="0"/>
  </r>
  <r>
    <s v="20190913115132n"/>
    <x v="62"/>
    <s v="newpage"/>
    <x v="0"/>
    <n v="1"/>
    <x v="6"/>
    <s v="Windows (32-bit) NT 10.00"/>
    <n v="0"/>
    <n v="0"/>
    <n v="0"/>
    <n v="0"/>
    <n v="0"/>
  </r>
  <r>
    <s v="20190913115132p"/>
    <x v="62"/>
    <s v="pageview"/>
    <x v="0"/>
    <n v="1"/>
    <x v="6"/>
    <s v="Windows (32-bit) NT 10.00"/>
    <n v="1"/>
    <n v="0"/>
    <n v="0"/>
    <n v="0"/>
    <n v="0"/>
  </r>
  <r>
    <s v="20190913115134p"/>
    <x v="63"/>
    <s v="pageview"/>
    <x v="6"/>
    <n v="1"/>
    <x v="6"/>
    <s v="Windows (32-bit) NT 10.00"/>
    <n v="1"/>
    <n v="0"/>
    <n v="0"/>
    <n v="0"/>
    <n v="0"/>
  </r>
  <r>
    <s v="20190913115142p"/>
    <x v="64"/>
    <s v="pageview"/>
    <x v="0"/>
    <n v="1"/>
    <x v="6"/>
    <s v="Windows (32-bit) NT 10.00"/>
    <n v="1"/>
    <n v="0"/>
    <n v="0"/>
    <n v="0"/>
    <n v="0"/>
  </r>
  <r>
    <s v="20190913115144p"/>
    <x v="65"/>
    <s v="pageview"/>
    <x v="2"/>
    <n v="1"/>
    <x v="6"/>
    <s v="Windows (32-bit) NT 10.00"/>
    <n v="1"/>
    <n v="0"/>
    <n v="0"/>
    <n v="0"/>
    <n v="0"/>
  </r>
  <r>
    <s v="20190913115148p"/>
    <x v="66"/>
    <s v="pageview"/>
    <x v="0"/>
    <n v="1"/>
    <x v="6"/>
    <s v="Windows (32-bit) NT 10.00"/>
    <n v="1"/>
    <n v="0"/>
    <n v="0"/>
    <n v="0"/>
    <n v="0"/>
  </r>
  <r>
    <s v="20190913115205p"/>
    <x v="67"/>
    <s v="pageview"/>
    <x v="6"/>
    <n v="1"/>
    <x v="6"/>
    <s v="Windows (32-bit) NT 10.00"/>
    <n v="1"/>
    <n v="0"/>
    <n v="0"/>
    <n v="0"/>
    <n v="0"/>
  </r>
  <r>
    <s v="20190913115251p"/>
    <x v="68"/>
    <s v="pageview"/>
    <x v="8"/>
    <n v="1"/>
    <x v="6"/>
    <s v="Windows (32-bit) NT 10.00"/>
    <n v="1"/>
    <n v="0"/>
    <n v="0"/>
    <n v="0"/>
    <n v="0"/>
  </r>
  <r>
    <s v="20190913115353p"/>
    <x v="69"/>
    <s v="pageview"/>
    <x v="3"/>
    <n v="1"/>
    <x v="6"/>
    <s v="Windows (32-bit) NT 10.00"/>
    <n v="1"/>
    <n v="0"/>
    <n v="0"/>
    <n v="0"/>
    <n v="0"/>
  </r>
  <r>
    <s v="20190913115354p"/>
    <x v="70"/>
    <s v="pageview"/>
    <x v="6"/>
    <n v="1"/>
    <x v="6"/>
    <s v="Windows (32-bit) NT 10.00"/>
    <n v="1"/>
    <n v="0"/>
    <n v="0"/>
    <n v="0"/>
    <n v="0"/>
  </r>
  <r>
    <s v="20190913115425p"/>
    <x v="71"/>
    <s v="pageview"/>
    <x v="8"/>
    <n v="1"/>
    <x v="6"/>
    <s v="Windows (32-bit) NT 10.00"/>
    <n v="1"/>
    <n v="0"/>
    <n v="0"/>
    <n v="0"/>
    <n v="0"/>
  </r>
  <r>
    <s v="20190913115502n"/>
    <x v="72"/>
    <s v="newpage"/>
    <x v="9"/>
    <n v="1"/>
    <x v="6"/>
    <s v="Windows (32-bit) NT 10.00"/>
    <n v="0"/>
    <n v="0"/>
    <n v="0"/>
    <n v="0"/>
    <n v="0"/>
  </r>
  <r>
    <s v="20190913115502p"/>
    <x v="72"/>
    <s v="pageview"/>
    <x v="9"/>
    <n v="1"/>
    <x v="6"/>
    <s v="Windows (32-bit) NT 10.00"/>
    <n v="1"/>
    <n v="0"/>
    <n v="0"/>
    <n v="0"/>
    <n v="0"/>
  </r>
  <r>
    <s v="20190913115510p"/>
    <x v="73"/>
    <s v="pageview"/>
    <x v="6"/>
    <n v="1"/>
    <x v="6"/>
    <s v="Windows (32-bit) NT 10.00"/>
    <n v="1"/>
    <n v="0"/>
    <n v="0"/>
    <n v="0"/>
    <n v="0"/>
  </r>
  <r>
    <s v="20190913115520p"/>
    <x v="74"/>
    <s v="pageview"/>
    <x v="10"/>
    <n v="1"/>
    <x v="6"/>
    <s v="Windows (32-bit) NT 10.00"/>
    <n v="1"/>
    <n v="0"/>
    <n v="0"/>
    <n v="0"/>
    <n v="0"/>
  </r>
  <r>
    <s v="20190913115522p"/>
    <x v="75"/>
    <s v="pageview"/>
    <x v="6"/>
    <n v="1"/>
    <x v="6"/>
    <s v="Windows (32-bit) NT 10.00"/>
    <n v="1"/>
    <n v="0"/>
    <n v="0"/>
    <n v="0"/>
    <n v="0"/>
  </r>
  <r>
    <s v="20190913115537p"/>
    <x v="76"/>
    <s v="pageview"/>
    <x v="10"/>
    <n v="1"/>
    <x v="6"/>
    <s v="Windows (32-bit) NT 10.00"/>
    <n v="1"/>
    <n v="0"/>
    <n v="0"/>
    <n v="0"/>
    <n v="0"/>
  </r>
  <r>
    <s v="20190913115724p"/>
    <x v="77"/>
    <s v="pageview"/>
    <x v="6"/>
    <n v="1"/>
    <x v="6"/>
    <s v="Windows (32-bit) NT 10.00"/>
    <n v="1"/>
    <n v="0"/>
    <n v="0"/>
    <n v="0"/>
    <n v="0"/>
  </r>
  <r>
    <s v="20190913115821p"/>
    <x v="78"/>
    <s v="pageview"/>
    <x v="10"/>
    <n v="1"/>
    <x v="6"/>
    <s v="Windows (32-bit) NT 10.00"/>
    <n v="1"/>
    <n v="0"/>
    <n v="0"/>
    <n v="0"/>
    <n v="0"/>
  </r>
  <r>
    <s v="20190913115828p"/>
    <x v="79"/>
    <s v="pageview"/>
    <x v="8"/>
    <n v="1"/>
    <x v="6"/>
    <s v="Windows (32-bit) NT 10.00"/>
    <n v="1"/>
    <n v="0"/>
    <n v="0"/>
    <n v="0"/>
    <n v="0"/>
  </r>
  <r>
    <s v="20190913115828p"/>
    <x v="79"/>
    <s v="pageview"/>
    <x v="6"/>
    <n v="1"/>
    <x v="6"/>
    <s v="Windows (32-bit) NT 10.00"/>
    <n v="1"/>
    <n v="0"/>
    <n v="0"/>
    <n v="0"/>
    <n v="0"/>
  </r>
  <r>
    <s v="20190913120130p"/>
    <x v="80"/>
    <s v="pageview"/>
    <x v="5"/>
    <n v="1"/>
    <x v="6"/>
    <s v="Windows (32-bit) NT 10.00"/>
    <n v="1"/>
    <n v="0"/>
    <n v="0"/>
    <n v="0"/>
    <n v="0"/>
  </r>
  <r>
    <s v="20190913131415p"/>
    <x v="81"/>
    <s v="pageview"/>
    <x v="2"/>
    <n v="1"/>
    <x v="0"/>
    <s v="Windows 8 Professional"/>
    <n v="1"/>
    <n v="0"/>
    <n v="0"/>
    <n v="0"/>
    <n v="0"/>
  </r>
  <r>
    <s v="20190913131415p"/>
    <x v="81"/>
    <s v="pageview"/>
    <x v="2"/>
    <n v="1"/>
    <x v="0"/>
    <s v="Windows 8 Professional"/>
    <n v="1"/>
    <n v="0"/>
    <n v="0"/>
    <n v="0"/>
    <n v="0"/>
  </r>
  <r>
    <s v="20190913131415e"/>
    <x v="81"/>
    <s v="event"/>
    <x v="0"/>
    <n v="1"/>
    <x v="0"/>
    <s v="Windows 8 Professional"/>
    <n v="0"/>
    <n v="1"/>
    <n v="0"/>
    <n v="0"/>
    <n v="0"/>
  </r>
  <r>
    <s v="20190913131415p"/>
    <x v="81"/>
    <s v="pageview"/>
    <x v="0"/>
    <n v="1"/>
    <x v="5"/>
    <s v="Windows 8 Professional"/>
    <n v="1"/>
    <n v="0"/>
    <n v="0"/>
    <n v="0"/>
    <n v="0"/>
  </r>
  <r>
    <s v="20190913131415e"/>
    <x v="81"/>
    <s v="event"/>
    <x v="1"/>
    <n v="1"/>
    <x v="5"/>
    <s v="Windows 8 Professional"/>
    <n v="0"/>
    <n v="1"/>
    <n v="0"/>
    <n v="0"/>
    <n v="0"/>
  </r>
  <r>
    <s v="20190913131415p"/>
    <x v="81"/>
    <s v="pageview"/>
    <x v="4"/>
    <n v="1"/>
    <x v="5"/>
    <s v="Windows 8 Professional"/>
    <n v="1"/>
    <n v="0"/>
    <n v="0"/>
    <n v="0"/>
    <n v="0"/>
  </r>
  <r>
    <s v="20190913131415o"/>
    <x v="81"/>
    <s v="open"/>
    <x v="4"/>
    <n v="1"/>
    <x v="5"/>
    <s v="Windows 8 Professional"/>
    <n v="0"/>
    <n v="0"/>
    <n v="1"/>
    <n v="0"/>
    <n v="0"/>
  </r>
  <r>
    <s v="20190913131415e"/>
    <x v="81"/>
    <s v="event"/>
    <x v="4"/>
    <n v="1"/>
    <x v="5"/>
    <s v="Windows 8 Professional"/>
    <n v="0"/>
    <n v="1"/>
    <n v="0"/>
    <n v="0"/>
    <n v="0"/>
  </r>
  <r>
    <s v="20190913131415p"/>
    <x v="81"/>
    <s v="pageview"/>
    <x v="1"/>
    <n v="1"/>
    <x v="2"/>
    <s v="Windows XP (32-Bit)"/>
    <n v="1"/>
    <n v="0"/>
    <n v="0"/>
    <n v="0"/>
    <n v="0"/>
  </r>
  <r>
    <s v="20190913131415p"/>
    <x v="81"/>
    <s v="pageview"/>
    <x v="0"/>
    <n v="1"/>
    <x v="2"/>
    <s v="Windows XP (32-Bit)"/>
    <n v="1"/>
    <n v="0"/>
    <n v="0"/>
    <n v="0"/>
    <n v="0"/>
  </r>
  <r>
    <s v="20190913131415p"/>
    <x v="81"/>
    <s v="pageview"/>
    <x v="0"/>
    <n v="1"/>
    <x v="2"/>
    <s v="Windows XP (32-Bit)"/>
    <n v="1"/>
    <n v="0"/>
    <n v="0"/>
    <n v="0"/>
    <n v="0"/>
  </r>
  <r>
    <s v="20190913131415p"/>
    <x v="81"/>
    <s v="pageview"/>
    <x v="3"/>
    <n v="1"/>
    <x v="2"/>
    <s v="Windows XP (32-Bit)"/>
    <n v="1"/>
    <n v="0"/>
    <n v="0"/>
    <n v="0"/>
    <n v="0"/>
  </r>
  <r>
    <s v="20190913131415p"/>
    <x v="81"/>
    <s v="pageview"/>
    <x v="2"/>
    <n v="1"/>
    <x v="2"/>
    <s v="Windows XP (32-Bit)"/>
    <n v="1"/>
    <n v="0"/>
    <n v="0"/>
    <n v="0"/>
    <n v="0"/>
  </r>
  <r>
    <s v="20190913131415p"/>
    <x v="81"/>
    <s v="pageview"/>
    <x v="4"/>
    <n v="1"/>
    <x v="3"/>
    <s v="Windows XP (32-Bit)"/>
    <n v="1"/>
    <n v="0"/>
    <n v="0"/>
    <n v="0"/>
    <n v="0"/>
  </r>
  <r>
    <s v="20190913131415e"/>
    <x v="81"/>
    <s v="event"/>
    <x v="1"/>
    <n v="1"/>
    <x v="3"/>
    <s v="Windows XP (32-Bit)"/>
    <n v="0"/>
    <n v="1"/>
    <n v="0"/>
    <n v="0"/>
    <n v="0"/>
  </r>
  <r>
    <s v="20190913131415p"/>
    <x v="81"/>
    <s v="pageview"/>
    <x v="2"/>
    <n v="1"/>
    <x v="3"/>
    <s v="Windows XP (32-Bit)"/>
    <n v="1"/>
    <n v="0"/>
    <n v="0"/>
    <n v="0"/>
    <n v="0"/>
  </r>
  <r>
    <s v="20190914131415e"/>
    <x v="82"/>
    <s v="event"/>
    <x v="0"/>
    <n v="1"/>
    <x v="0"/>
    <s v="Windows 8 Professional"/>
    <n v="0"/>
    <n v="1"/>
    <n v="0"/>
    <n v="0"/>
    <n v="0"/>
  </r>
  <r>
    <s v="20190914131415p"/>
    <x v="82"/>
    <s v="pageview"/>
    <x v="1"/>
    <n v="1"/>
    <x v="5"/>
    <s v="Windows 8 Professional"/>
    <n v="1"/>
    <n v="0"/>
    <n v="0"/>
    <n v="0"/>
    <n v="0"/>
  </r>
  <r>
    <s v="20190914131415p"/>
    <x v="82"/>
    <s v="pageview"/>
    <x v="0"/>
    <n v="1"/>
    <x v="1"/>
    <s v="Windows XP (32-Bit)"/>
    <n v="1"/>
    <n v="0"/>
    <n v="0"/>
    <n v="0"/>
    <n v="0"/>
  </r>
  <r>
    <s v="20190914131415p"/>
    <x v="82"/>
    <s v="pageview"/>
    <x v="1"/>
    <n v="1"/>
    <x v="2"/>
    <s v="Windows XP (32-Bit)"/>
    <n v="1"/>
    <n v="0"/>
    <n v="0"/>
    <n v="0"/>
    <n v="0"/>
  </r>
  <r>
    <s v="20190914131415e"/>
    <x v="82"/>
    <s v="event"/>
    <x v="3"/>
    <n v="1"/>
    <x v="2"/>
    <s v="Windows XP (32-Bit)"/>
    <n v="0"/>
    <n v="1"/>
    <n v="0"/>
    <n v="0"/>
    <n v="0"/>
  </r>
  <r>
    <s v="20190914131415e"/>
    <x v="82"/>
    <s v="event"/>
    <x v="4"/>
    <n v="1"/>
    <x v="2"/>
    <s v="Windows XP (32-Bit)"/>
    <n v="0"/>
    <n v="1"/>
    <n v="0"/>
    <n v="0"/>
    <n v="0"/>
  </r>
  <r>
    <s v="20190914131415p"/>
    <x v="82"/>
    <s v="pageview"/>
    <x v="0"/>
    <n v="1"/>
    <x v="3"/>
    <s v="Windows XP (32-Bit)"/>
    <n v="1"/>
    <n v="0"/>
    <n v="0"/>
    <n v="0"/>
    <n v="0"/>
  </r>
  <r>
    <s v="20190914131415o"/>
    <x v="82"/>
    <s v="open"/>
    <x v="3"/>
    <n v="1"/>
    <x v="3"/>
    <s v="Windows XP (32-Bit)"/>
    <n v="0"/>
    <n v="0"/>
    <n v="1"/>
    <n v="0"/>
    <n v="0"/>
  </r>
  <r>
    <s v="20190914131415p"/>
    <x v="82"/>
    <s v="pageview"/>
    <x v="4"/>
    <n v="1"/>
    <x v="4"/>
    <s v="Windows 8 Professional"/>
    <n v="1"/>
    <n v="0"/>
    <n v="0"/>
    <n v="0"/>
    <n v="0"/>
  </r>
  <r>
    <s v="20190914131415p"/>
    <x v="82"/>
    <s v="pageview"/>
    <x v="0"/>
    <n v="1"/>
    <x v="4"/>
    <s v="Windows 8 Professional"/>
    <n v="1"/>
    <n v="0"/>
    <n v="0"/>
    <n v="0"/>
    <n v="0"/>
  </r>
  <r>
    <s v="20190914131415p"/>
    <x v="82"/>
    <s v="pageview"/>
    <x v="3"/>
    <n v="1"/>
    <x v="4"/>
    <s v="Windows 8 Professional"/>
    <n v="1"/>
    <n v="0"/>
    <n v="0"/>
    <n v="0"/>
    <n v="0"/>
  </r>
  <r>
    <s v="20190915131415e"/>
    <x v="83"/>
    <s v="event"/>
    <x v="4"/>
    <n v="1"/>
    <x v="0"/>
    <s v="Windows 8 Professional"/>
    <n v="0"/>
    <n v="1"/>
    <n v="0"/>
    <n v="0"/>
    <n v="0"/>
  </r>
  <r>
    <s v="20190915131415p"/>
    <x v="83"/>
    <s v="pageview"/>
    <x v="0"/>
    <n v="1"/>
    <x v="0"/>
    <s v="Windows 8 Professional"/>
    <n v="1"/>
    <n v="0"/>
    <n v="0"/>
    <n v="0"/>
    <n v="0"/>
  </r>
  <r>
    <s v="20190915131415p"/>
    <x v="83"/>
    <s v="pageview"/>
    <x v="1"/>
    <n v="1"/>
    <x v="1"/>
    <s v="Windows XP (32-Bit)"/>
    <n v="1"/>
    <n v="0"/>
    <n v="0"/>
    <n v="0"/>
    <n v="0"/>
  </r>
  <r>
    <s v="20190915131415p"/>
    <x v="83"/>
    <s v="pageview"/>
    <x v="4"/>
    <n v="1"/>
    <x v="2"/>
    <s v="Windows XP (32-Bit)"/>
    <n v="1"/>
    <n v="0"/>
    <n v="0"/>
    <n v="0"/>
    <n v="0"/>
  </r>
  <r>
    <s v="20190915131415p"/>
    <x v="83"/>
    <s v="pageview"/>
    <x v="5"/>
    <n v="1"/>
    <x v="2"/>
    <s v="Windows XP (32-Bit)"/>
    <n v="1"/>
    <n v="0"/>
    <n v="0"/>
    <n v="0"/>
    <n v="0"/>
  </r>
  <r>
    <s v="20190915131415p"/>
    <x v="83"/>
    <s v="pageview"/>
    <x v="3"/>
    <n v="1"/>
    <x v="2"/>
    <s v="Windows XP (32-Bit)"/>
    <n v="1"/>
    <n v="0"/>
    <n v="0"/>
    <n v="0"/>
    <n v="0"/>
  </r>
  <r>
    <s v="20190915131415e"/>
    <x v="83"/>
    <s v="event"/>
    <x v="2"/>
    <n v="1"/>
    <x v="3"/>
    <s v="Windows XP (32-Bit)"/>
    <n v="0"/>
    <n v="1"/>
    <n v="0"/>
    <n v="0"/>
    <n v="0"/>
  </r>
  <r>
    <s v="20190916131415p"/>
    <x v="84"/>
    <s v="pageview"/>
    <x v="5"/>
    <n v="1"/>
    <x v="0"/>
    <s v="Windows 8 Professional"/>
    <n v="1"/>
    <n v="0"/>
    <n v="0"/>
    <n v="0"/>
    <n v="0"/>
  </r>
  <r>
    <s v="20190916131415o"/>
    <x v="84"/>
    <s v="open"/>
    <x v="1"/>
    <n v="1"/>
    <x v="5"/>
    <s v="Windows 8 Professional"/>
    <n v="0"/>
    <n v="0"/>
    <n v="1"/>
    <n v="0"/>
    <n v="0"/>
  </r>
  <r>
    <s v="20190916131415p"/>
    <x v="84"/>
    <s v="pageview"/>
    <x v="2"/>
    <n v="1"/>
    <x v="5"/>
    <s v="Windows 8 Professional"/>
    <n v="1"/>
    <n v="0"/>
    <n v="0"/>
    <n v="0"/>
    <n v="0"/>
  </r>
  <r>
    <s v="20190916131415p"/>
    <x v="84"/>
    <s v="pageview"/>
    <x v="2"/>
    <n v="1"/>
    <x v="1"/>
    <s v="Windows XP (32-Bit)"/>
    <n v="1"/>
    <n v="0"/>
    <n v="0"/>
    <n v="0"/>
    <n v="0"/>
  </r>
  <r>
    <s v="20190916131415p"/>
    <x v="84"/>
    <s v="pageview"/>
    <x v="5"/>
    <n v="1"/>
    <x v="1"/>
    <s v="Windows XP (32-Bit)"/>
    <n v="1"/>
    <n v="0"/>
    <n v="0"/>
    <n v="0"/>
    <n v="0"/>
  </r>
  <r>
    <s v="20190916131415p"/>
    <x v="84"/>
    <s v="pageview"/>
    <x v="1"/>
    <n v="1"/>
    <x v="1"/>
    <s v="Windows XP (32-Bit)"/>
    <n v="1"/>
    <n v="0"/>
    <n v="0"/>
    <n v="0"/>
    <n v="0"/>
  </r>
  <r>
    <s v="20190916131415p"/>
    <x v="84"/>
    <s v="pageview"/>
    <x v="2"/>
    <n v="1"/>
    <x v="1"/>
    <s v="Windows XP (32-Bit)"/>
    <n v="1"/>
    <n v="0"/>
    <n v="0"/>
    <n v="0"/>
    <n v="0"/>
  </r>
  <r>
    <s v="20190916131415p"/>
    <x v="84"/>
    <s v="pageview"/>
    <x v="4"/>
    <n v="1"/>
    <x v="2"/>
    <s v="Windows XP (32-Bit)"/>
    <n v="1"/>
    <n v="0"/>
    <n v="0"/>
    <n v="0"/>
    <n v="0"/>
  </r>
  <r>
    <s v="20190916131415s"/>
    <x v="84"/>
    <s v="save"/>
    <x v="0"/>
    <n v="1"/>
    <x v="3"/>
    <s v="Windows XP (32-Bit)"/>
    <n v="0"/>
    <n v="0"/>
    <n v="0"/>
    <n v="1"/>
    <n v="0"/>
  </r>
  <r>
    <s v="20190916131415p"/>
    <x v="84"/>
    <s v="pageview"/>
    <x v="3"/>
    <n v="1"/>
    <x v="3"/>
    <s v="Windows XP (32-Bit)"/>
    <n v="1"/>
    <n v="0"/>
    <n v="0"/>
    <n v="0"/>
    <n v="0"/>
  </r>
  <r>
    <s v="20190917131415p"/>
    <x v="85"/>
    <s v="pageview"/>
    <x v="2"/>
    <n v="1"/>
    <x v="0"/>
    <s v="Windows 8 Professional"/>
    <n v="1"/>
    <n v="0"/>
    <n v="0"/>
    <n v="0"/>
    <n v="0"/>
  </r>
  <r>
    <s v="20190917131415p"/>
    <x v="85"/>
    <s v="pageview"/>
    <x v="1"/>
    <n v="1"/>
    <x v="0"/>
    <s v="Windows 8 Professional"/>
    <n v="1"/>
    <n v="0"/>
    <n v="0"/>
    <n v="0"/>
    <n v="0"/>
  </r>
  <r>
    <s v="20190917131415o"/>
    <x v="85"/>
    <s v="open"/>
    <x v="2"/>
    <n v="1"/>
    <x v="0"/>
    <s v="Windows 8 Professional"/>
    <n v="0"/>
    <n v="0"/>
    <n v="1"/>
    <n v="0"/>
    <n v="0"/>
  </r>
  <r>
    <s v="20190917131415p"/>
    <x v="85"/>
    <s v="pageview"/>
    <x v="4"/>
    <n v="1"/>
    <x v="5"/>
    <s v="Windows 8 Professional"/>
    <n v="1"/>
    <n v="0"/>
    <n v="0"/>
    <n v="0"/>
    <n v="0"/>
  </r>
  <r>
    <s v="20190917131415p"/>
    <x v="85"/>
    <s v="pageview"/>
    <x v="0"/>
    <n v="1"/>
    <x v="1"/>
    <s v="Windows XP (32-Bit)"/>
    <n v="1"/>
    <n v="0"/>
    <n v="0"/>
    <n v="0"/>
    <n v="0"/>
  </r>
  <r>
    <s v="20190917131415p"/>
    <x v="85"/>
    <s v="pageview"/>
    <x v="0"/>
    <n v="1"/>
    <x v="2"/>
    <s v="Windows XP (32-Bit)"/>
    <n v="1"/>
    <n v="0"/>
    <n v="0"/>
    <n v="0"/>
    <n v="0"/>
  </r>
  <r>
    <s v="20190917131415p"/>
    <x v="85"/>
    <s v="pageview"/>
    <x v="4"/>
    <n v="1"/>
    <x v="2"/>
    <s v="Windows XP (32-Bit)"/>
    <n v="1"/>
    <n v="0"/>
    <n v="0"/>
    <n v="0"/>
    <n v="0"/>
  </r>
  <r>
    <s v="20190917131415p"/>
    <x v="85"/>
    <s v="pageview"/>
    <x v="1"/>
    <n v="1"/>
    <x v="3"/>
    <s v="Windows XP (32-Bit)"/>
    <n v="1"/>
    <n v="0"/>
    <n v="0"/>
    <n v="0"/>
    <n v="0"/>
  </r>
  <r>
    <s v="20190917131415o"/>
    <x v="85"/>
    <s v="open"/>
    <x v="3"/>
    <n v="1"/>
    <x v="3"/>
    <s v="Windows XP (32-Bit)"/>
    <n v="0"/>
    <n v="0"/>
    <n v="1"/>
    <n v="0"/>
    <n v="0"/>
  </r>
  <r>
    <s v="20190917131415o"/>
    <x v="85"/>
    <s v="open"/>
    <x v="0"/>
    <n v="1"/>
    <x v="4"/>
    <s v="Windows 8 Professional"/>
    <n v="0"/>
    <n v="0"/>
    <n v="1"/>
    <n v="0"/>
    <n v="0"/>
  </r>
  <r>
    <s v="20190917131415p"/>
    <x v="85"/>
    <s v="pageview"/>
    <x v="2"/>
    <n v="1"/>
    <x v="4"/>
    <s v="Windows 8 Professional"/>
    <n v="1"/>
    <n v="0"/>
    <n v="0"/>
    <n v="0"/>
    <n v="0"/>
  </r>
  <r>
    <s v="20190917134251p"/>
    <x v="86"/>
    <s v="pageview"/>
    <x v="6"/>
    <n v="1"/>
    <x v="6"/>
    <s v="Windows (32-bit) NT 10.00"/>
    <n v="1"/>
    <n v="0"/>
    <n v="0"/>
    <n v="0"/>
    <n v="0"/>
  </r>
  <r>
    <s v="20190917134517s"/>
    <x v="87"/>
    <s v="save"/>
    <x v="6"/>
    <n v="1"/>
    <x v="6"/>
    <s v="Windows (32-bit) NT 10.00"/>
    <n v="0"/>
    <n v="0"/>
    <n v="0"/>
    <n v="1"/>
    <n v="0"/>
  </r>
  <r>
    <s v="20190917134547s"/>
    <x v="88"/>
    <s v="save"/>
    <x v="6"/>
    <n v="1"/>
    <x v="6"/>
    <s v="Windows (32-bit) NT 10.00"/>
    <n v="0"/>
    <n v="0"/>
    <n v="0"/>
    <n v="1"/>
    <n v="0"/>
  </r>
  <r>
    <s v="20190917134606p"/>
    <x v="89"/>
    <s v="pageview"/>
    <x v="3"/>
    <n v="1"/>
    <x v="6"/>
    <s v="Windows (32-bit) NT 10.00"/>
    <n v="1"/>
    <n v="0"/>
    <n v="0"/>
    <n v="0"/>
    <n v="0"/>
  </r>
  <r>
    <s v="20190917134609p"/>
    <x v="90"/>
    <s v="pageview"/>
    <x v="8"/>
    <n v="1"/>
    <x v="6"/>
    <s v="Windows (32-bit) NT 10.00"/>
    <n v="1"/>
    <n v="0"/>
    <n v="0"/>
    <n v="0"/>
    <n v="0"/>
  </r>
  <r>
    <s v="20190917134611p"/>
    <x v="91"/>
    <s v="pageview"/>
    <x v="6"/>
    <n v="1"/>
    <x v="6"/>
    <s v="Windows (32-bit) NT 10.00"/>
    <n v="1"/>
    <n v="0"/>
    <n v="0"/>
    <n v="0"/>
    <n v="0"/>
  </r>
  <r>
    <s v="20190917134626n"/>
    <x v="92"/>
    <s v="newpage"/>
    <x v="2"/>
    <n v="1"/>
    <x v="6"/>
    <s v="Windows (32-bit) NT 10.00"/>
    <n v="0"/>
    <n v="0"/>
    <n v="0"/>
    <n v="0"/>
    <n v="0"/>
  </r>
  <r>
    <s v="20190917134626p"/>
    <x v="92"/>
    <s v="pageview"/>
    <x v="2"/>
    <n v="1"/>
    <x v="6"/>
    <s v="Windows (32-bit) NT 10.00"/>
    <n v="1"/>
    <n v="0"/>
    <n v="0"/>
    <n v="0"/>
    <n v="0"/>
  </r>
  <r>
    <s v="20190917134627p"/>
    <x v="93"/>
    <s v="pageview"/>
    <x v="10"/>
    <n v="1"/>
    <x v="6"/>
    <s v="Windows (32-bit) NT 10.00"/>
    <n v="1"/>
    <n v="0"/>
    <n v="0"/>
    <n v="0"/>
    <n v="0"/>
  </r>
  <r>
    <s v="20190917134630p"/>
    <x v="94"/>
    <s v="pageview"/>
    <x v="2"/>
    <n v="1"/>
    <x v="6"/>
    <s v="Windows (32-bit) NT 10.00"/>
    <n v="1"/>
    <n v="0"/>
    <n v="0"/>
    <n v="0"/>
    <n v="0"/>
  </r>
  <r>
    <s v="20190917134642p"/>
    <x v="95"/>
    <s v="pageview"/>
    <x v="6"/>
    <n v="1"/>
    <x v="6"/>
    <s v="Windows (32-bit) NT 10.00"/>
    <n v="1"/>
    <n v="0"/>
    <n v="0"/>
    <n v="0"/>
    <n v="0"/>
  </r>
  <r>
    <s v="20190917134704p"/>
    <x v="96"/>
    <s v="pageview"/>
    <x v="11"/>
    <n v="1"/>
    <x v="6"/>
    <s v="Windows (32-bit) NT 10.00"/>
    <n v="1"/>
    <n v="0"/>
    <n v="0"/>
    <n v="0"/>
    <n v="0"/>
  </r>
  <r>
    <s v="20190917135251n"/>
    <x v="97"/>
    <s v="newpage"/>
    <x v="0"/>
    <n v="1"/>
    <x v="6"/>
    <s v="Windows (32-bit) NT 10.00"/>
    <n v="0"/>
    <n v="0"/>
    <n v="0"/>
    <n v="0"/>
    <n v="0"/>
  </r>
  <r>
    <s v="20190917135251p"/>
    <x v="97"/>
    <s v="pageview"/>
    <x v="0"/>
    <n v="1"/>
    <x v="6"/>
    <s v="Windows (32-bit) NT 10.00"/>
    <n v="1"/>
    <n v="0"/>
    <n v="0"/>
    <n v="0"/>
    <n v="0"/>
  </r>
  <r>
    <s v="20190917135311p"/>
    <x v="98"/>
    <s v="pageview"/>
    <x v="11"/>
    <n v="1"/>
    <x v="6"/>
    <s v="Windows (32-bit) NT 10.00"/>
    <n v="1"/>
    <n v="0"/>
    <n v="0"/>
    <n v="0"/>
    <n v="0"/>
  </r>
  <r>
    <s v="20190917135437s"/>
    <x v="99"/>
    <s v="save"/>
    <x v="11"/>
    <n v="1"/>
    <x v="6"/>
    <s v="Windows (32-bit) NT 10.00"/>
    <n v="0"/>
    <n v="0"/>
    <n v="0"/>
    <n v="1"/>
    <n v="0"/>
  </r>
  <r>
    <s v="20190917135616s"/>
    <x v="100"/>
    <s v="save"/>
    <x v="11"/>
    <n v="1"/>
    <x v="6"/>
    <s v="Windows (32-bit) NT 10.00"/>
    <n v="0"/>
    <n v="0"/>
    <n v="0"/>
    <n v="1"/>
    <n v="0"/>
  </r>
  <r>
    <s v="20190917140032p"/>
    <x v="101"/>
    <s v="pageview"/>
    <x v="6"/>
    <n v="1"/>
    <x v="6"/>
    <s v="Windows (32-bit) NT 10.00"/>
    <n v="1"/>
    <n v="0"/>
    <n v="0"/>
    <n v="0"/>
    <n v="0"/>
  </r>
  <r>
    <s v="20190917140033p"/>
    <x v="102"/>
    <s v="pageview"/>
    <x v="11"/>
    <n v="1"/>
    <x v="6"/>
    <s v="Windows (32-bit) NT 10.00"/>
    <n v="1"/>
    <n v="0"/>
    <n v="0"/>
    <n v="0"/>
    <n v="0"/>
  </r>
  <r>
    <s v="20190917140039s"/>
    <x v="103"/>
    <s v="save"/>
    <x v="11"/>
    <n v="1"/>
    <x v="6"/>
    <s v="Windows (32-bit) NT 10.00"/>
    <n v="0"/>
    <n v="0"/>
    <n v="0"/>
    <n v="1"/>
    <n v="0"/>
  </r>
  <r>
    <s v="20190917140042s"/>
    <x v="104"/>
    <s v="save"/>
    <x v="11"/>
    <n v="1"/>
    <x v="6"/>
    <s v="Windows (32-bit) NT 10.00"/>
    <n v="0"/>
    <n v="0"/>
    <n v="0"/>
    <n v="1"/>
    <n v="0"/>
  </r>
  <r>
    <s v="20190917142218o"/>
    <x v="105"/>
    <s v="open"/>
    <x v="11"/>
    <n v="1"/>
    <x v="6"/>
    <s v="Windows (32-bit) NT 10.00"/>
    <n v="0"/>
    <n v="0"/>
    <n v="1"/>
    <n v="0"/>
    <n v="0"/>
  </r>
  <r>
    <s v="20190918131415p"/>
    <x v="106"/>
    <s v="pageview"/>
    <x v="5"/>
    <n v="1"/>
    <x v="5"/>
    <s v="Windows 8 Professional"/>
    <n v="1"/>
    <n v="0"/>
    <n v="0"/>
    <n v="0"/>
    <n v="0"/>
  </r>
  <r>
    <s v="20190918131415p"/>
    <x v="106"/>
    <s v="pageview"/>
    <x v="0"/>
    <n v="1"/>
    <x v="1"/>
    <s v="Windows XP (32-Bit)"/>
    <n v="1"/>
    <n v="0"/>
    <n v="0"/>
    <n v="0"/>
    <n v="0"/>
  </r>
  <r>
    <s v="20190918131415p"/>
    <x v="106"/>
    <s v="pageview"/>
    <x v="1"/>
    <n v="1"/>
    <x v="1"/>
    <s v="Windows XP (32-Bit)"/>
    <n v="1"/>
    <n v="0"/>
    <n v="0"/>
    <n v="0"/>
    <n v="0"/>
  </r>
  <r>
    <s v="20190918131415s"/>
    <x v="106"/>
    <s v="save"/>
    <x v="2"/>
    <n v="1"/>
    <x v="2"/>
    <s v="Windows XP (32-Bit)"/>
    <n v="0"/>
    <n v="0"/>
    <n v="0"/>
    <n v="1"/>
    <n v="0"/>
  </r>
  <r>
    <s v="20190918131415p"/>
    <x v="106"/>
    <s v="pageview"/>
    <x v="1"/>
    <n v="1"/>
    <x v="2"/>
    <s v="Windows XP (32-Bit)"/>
    <n v="1"/>
    <n v="0"/>
    <n v="0"/>
    <n v="0"/>
    <n v="0"/>
  </r>
  <r>
    <s v="20190918131415p"/>
    <x v="106"/>
    <s v="pageview"/>
    <x v="0"/>
    <n v="1"/>
    <x v="2"/>
    <s v="Windows XP (32-Bit)"/>
    <n v="1"/>
    <n v="0"/>
    <n v="0"/>
    <n v="0"/>
    <n v="0"/>
  </r>
  <r>
    <s v="20190918131415p"/>
    <x v="106"/>
    <s v="pageview"/>
    <x v="4"/>
    <n v="1"/>
    <x v="2"/>
    <s v="Windows XP (32-Bit)"/>
    <n v="1"/>
    <n v="0"/>
    <n v="0"/>
    <n v="0"/>
    <n v="0"/>
  </r>
  <r>
    <s v="20190918131415o"/>
    <x v="106"/>
    <s v="open"/>
    <x v="3"/>
    <n v="1"/>
    <x v="4"/>
    <s v="Windows 8 Professional"/>
    <n v="0"/>
    <n v="0"/>
    <n v="1"/>
    <n v="0"/>
    <n v="0"/>
  </r>
  <r>
    <s v="20190918131415e"/>
    <x v="106"/>
    <s v="event"/>
    <x v="3"/>
    <n v="1"/>
    <x v="4"/>
    <s v="Windows 8 Professional"/>
    <n v="0"/>
    <n v="1"/>
    <n v="0"/>
    <n v="0"/>
    <n v="0"/>
  </r>
  <r>
    <s v="20190918131415p"/>
    <x v="106"/>
    <s v="pageview"/>
    <x v="3"/>
    <n v="1"/>
    <x v="4"/>
    <s v="Windows 8 Professional"/>
    <n v="1"/>
    <n v="0"/>
    <n v="0"/>
    <n v="0"/>
    <n v="0"/>
  </r>
  <r>
    <s v="20190919131415p"/>
    <x v="107"/>
    <s v="pageview"/>
    <x v="0"/>
    <n v="1"/>
    <x v="0"/>
    <s v="Windows 8 Professional"/>
    <n v="1"/>
    <n v="0"/>
    <n v="0"/>
    <n v="0"/>
    <n v="0"/>
  </r>
  <r>
    <s v="20190919131415p"/>
    <x v="107"/>
    <s v="pageview"/>
    <x v="0"/>
    <n v="1"/>
    <x v="1"/>
    <s v="Windows XP (32-Bit)"/>
    <n v="1"/>
    <n v="0"/>
    <n v="0"/>
    <n v="0"/>
    <n v="0"/>
  </r>
  <r>
    <s v="20190919131415p"/>
    <x v="107"/>
    <s v="pageview"/>
    <x v="3"/>
    <n v="1"/>
    <x v="1"/>
    <s v="Windows XP (32-Bit)"/>
    <n v="1"/>
    <n v="0"/>
    <n v="0"/>
    <n v="0"/>
    <n v="0"/>
  </r>
  <r>
    <s v="20190919131415p"/>
    <x v="107"/>
    <s v="pageview"/>
    <x v="3"/>
    <n v="1"/>
    <x v="1"/>
    <s v="Windows XP (32-Bit)"/>
    <n v="1"/>
    <n v="0"/>
    <n v="0"/>
    <n v="0"/>
    <n v="0"/>
  </r>
  <r>
    <s v="20190919131415p"/>
    <x v="107"/>
    <s v="pageview"/>
    <x v="2"/>
    <n v="1"/>
    <x v="3"/>
    <s v="Windows XP (32-Bit)"/>
    <n v="1"/>
    <n v="0"/>
    <n v="0"/>
    <n v="0"/>
    <n v="0"/>
  </r>
  <r>
    <s v="20190919131415e"/>
    <x v="107"/>
    <s v="event"/>
    <x v="1"/>
    <n v="1"/>
    <x v="3"/>
    <s v="Windows XP (32-Bit)"/>
    <n v="0"/>
    <n v="1"/>
    <n v="0"/>
    <n v="0"/>
    <n v="0"/>
  </r>
  <r>
    <s v="20190919131415p"/>
    <x v="107"/>
    <s v="pageview"/>
    <x v="4"/>
    <n v="1"/>
    <x v="4"/>
    <s v="Windows 8 Professional"/>
    <n v="1"/>
    <n v="0"/>
    <n v="0"/>
    <n v="0"/>
    <n v="0"/>
  </r>
  <r>
    <s v="20190919131415p"/>
    <x v="107"/>
    <s v="pageview"/>
    <x v="2"/>
    <n v="1"/>
    <x v="4"/>
    <s v="Windows 8 Professional"/>
    <n v="1"/>
    <n v="0"/>
    <n v="0"/>
    <n v="0"/>
    <n v="0"/>
  </r>
  <r>
    <s v="20190919131415s"/>
    <x v="107"/>
    <s v="save"/>
    <x v="5"/>
    <n v="1"/>
    <x v="4"/>
    <s v="Windows 8 Professional"/>
    <n v="0"/>
    <n v="0"/>
    <n v="0"/>
    <n v="1"/>
    <n v="0"/>
  </r>
  <r>
    <s v="20190919131415e"/>
    <x v="107"/>
    <s v="event"/>
    <x v="5"/>
    <n v="1"/>
    <x v="4"/>
    <s v="Windows 8 Professional"/>
    <n v="0"/>
    <n v="1"/>
    <n v="0"/>
    <n v="0"/>
    <n v="0"/>
  </r>
  <r>
    <s v="20190919190219p"/>
    <x v="108"/>
    <s v="pageview"/>
    <x v="10"/>
    <n v="1"/>
    <x v="6"/>
    <s v="Windows (32-bit) NT 10.00"/>
    <n v="1"/>
    <n v="0"/>
    <n v="0"/>
    <n v="0"/>
    <n v="0"/>
  </r>
  <r>
    <s v="20190919190221p"/>
    <x v="109"/>
    <s v="pageview"/>
    <x v="6"/>
    <n v="1"/>
    <x v="6"/>
    <s v="Windows (32-bit) NT 10.00"/>
    <n v="1"/>
    <n v="0"/>
    <n v="0"/>
    <n v="0"/>
    <n v="0"/>
  </r>
  <r>
    <s v="20190920103230s"/>
    <x v="110"/>
    <s v="save"/>
    <x v="6"/>
    <n v="1"/>
    <x v="6"/>
    <s v="Windows (32-bit) NT 10.00"/>
    <n v="0"/>
    <n v="0"/>
    <n v="0"/>
    <n v="1"/>
    <n v="0"/>
  </r>
  <r>
    <s v="20190920103331s"/>
    <x v="111"/>
    <s v="save"/>
    <x v="6"/>
    <n v="1"/>
    <x v="6"/>
    <s v="Windows (32-bit) NT 10.00"/>
    <n v="0"/>
    <n v="0"/>
    <n v="0"/>
    <n v="1"/>
    <n v="0"/>
  </r>
  <r>
    <s v="20190920103410s"/>
    <x v="112"/>
    <s v="save"/>
    <x v="6"/>
    <n v="1"/>
    <x v="6"/>
    <s v="Windows (32-bit) NT 10.00"/>
    <n v="0"/>
    <n v="0"/>
    <n v="0"/>
    <n v="1"/>
    <n v="0"/>
  </r>
  <r>
    <s v="20190920103649s"/>
    <x v="113"/>
    <s v="save"/>
    <x v="6"/>
    <n v="1"/>
    <x v="6"/>
    <s v="Windows (32-bit) NT 10.00"/>
    <n v="0"/>
    <n v="0"/>
    <n v="0"/>
    <n v="1"/>
    <n v="0"/>
  </r>
  <r>
    <s v="20190920103824s"/>
    <x v="114"/>
    <s v="save"/>
    <x v="6"/>
    <n v="1"/>
    <x v="6"/>
    <s v="Windows (32-bit) NT 10.00"/>
    <n v="0"/>
    <n v="0"/>
    <n v="0"/>
    <n v="1"/>
    <n v="0"/>
  </r>
  <r>
    <s v="20190920103854p"/>
    <x v="115"/>
    <s v="pageview"/>
    <x v="10"/>
    <n v="1"/>
    <x v="6"/>
    <s v="Windows (32-bit) NT 10.00"/>
    <n v="1"/>
    <n v="0"/>
    <n v="0"/>
    <n v="0"/>
    <n v="0"/>
  </r>
  <r>
    <s v="20190920103856p"/>
    <x v="116"/>
    <s v="pageview"/>
    <x v="6"/>
    <n v="1"/>
    <x v="6"/>
    <s v="Windows (32-bit) NT 10.00"/>
    <n v="1"/>
    <n v="0"/>
    <n v="0"/>
    <n v="0"/>
    <n v="0"/>
  </r>
  <r>
    <s v="20190920104147s"/>
    <x v="117"/>
    <s v="save"/>
    <x v="6"/>
    <n v="1"/>
    <x v="6"/>
    <s v="Windows (32-bit) NT 10.00"/>
    <n v="0"/>
    <n v="0"/>
    <n v="0"/>
    <n v="1"/>
    <n v="0"/>
  </r>
  <r>
    <s v="20190920104204p"/>
    <x v="118"/>
    <s v="pageview"/>
    <x v="11"/>
    <n v="1"/>
    <x v="6"/>
    <s v="Windows (32-bit) NT 10.00"/>
    <n v="1"/>
    <n v="0"/>
    <n v="0"/>
    <n v="0"/>
    <n v="0"/>
  </r>
  <r>
    <s v="20190920104320s"/>
    <x v="119"/>
    <s v="save"/>
    <x v="11"/>
    <n v="1"/>
    <x v="6"/>
    <s v="Windows (32-bit) NT 10.00"/>
    <n v="0"/>
    <n v="0"/>
    <n v="0"/>
    <n v="1"/>
    <n v="0"/>
  </r>
  <r>
    <s v="20190920104322p"/>
    <x v="120"/>
    <s v="pageview"/>
    <x v="8"/>
    <n v="1"/>
    <x v="6"/>
    <s v="Windows (32-bit) NT 10.00"/>
    <n v="1"/>
    <n v="0"/>
    <n v="0"/>
    <n v="0"/>
    <n v="0"/>
  </r>
  <r>
    <s v="20190920104323p"/>
    <x v="121"/>
    <s v="pageview"/>
    <x v="6"/>
    <n v="1"/>
    <x v="6"/>
    <s v="Windows (32-bit) NT 10.00"/>
    <n v="1"/>
    <n v="0"/>
    <n v="0"/>
    <n v="0"/>
    <n v="0"/>
  </r>
  <r>
    <s v="20190920104331p"/>
    <x v="122"/>
    <s v="pageview"/>
    <x v="10"/>
    <n v="1"/>
    <x v="6"/>
    <s v="Windows (32-bit) NT 10.00"/>
    <n v="1"/>
    <n v="0"/>
    <n v="0"/>
    <n v="0"/>
    <n v="0"/>
  </r>
  <r>
    <s v="20190920104332p"/>
    <x v="123"/>
    <s v="pageview"/>
    <x v="8"/>
    <n v="1"/>
    <x v="6"/>
    <s v="Windows (32-bit) NT 10.00"/>
    <n v="1"/>
    <n v="0"/>
    <n v="0"/>
    <n v="0"/>
    <n v="0"/>
  </r>
  <r>
    <s v="20190920104334p"/>
    <x v="124"/>
    <s v="pageview"/>
    <x v="6"/>
    <n v="1"/>
    <x v="6"/>
    <s v="Windows (32-bit) NT 10.00"/>
    <n v="1"/>
    <n v="0"/>
    <n v="0"/>
    <n v="0"/>
    <n v="0"/>
  </r>
  <r>
    <s v="20190920104424s"/>
    <x v="125"/>
    <s v="save"/>
    <x v="6"/>
    <n v="1"/>
    <x v="6"/>
    <s v="Windows (32-bit) NT 10.00"/>
    <n v="0"/>
    <n v="0"/>
    <n v="0"/>
    <n v="1"/>
    <n v="0"/>
  </r>
  <r>
    <s v="20190920104445s"/>
    <x v="126"/>
    <s v="save"/>
    <x v="6"/>
    <n v="1"/>
    <x v="6"/>
    <s v="Windows (32-bit) NT 10.00"/>
    <n v="0"/>
    <n v="0"/>
    <n v="0"/>
    <n v="1"/>
    <n v="0"/>
  </r>
  <r>
    <s v="20190920104602s"/>
    <x v="127"/>
    <s v="save"/>
    <x v="12"/>
    <n v="1"/>
    <x v="6"/>
    <s v="Windows (32-bit) NT 10.00"/>
    <n v="0"/>
    <n v="0"/>
    <n v="0"/>
    <n v="1"/>
    <n v="0"/>
  </r>
  <r>
    <s v="20190920104622p"/>
    <x v="128"/>
    <s v="pageview"/>
    <x v="3"/>
    <n v="1"/>
    <x v="6"/>
    <s v="Windows (32-bit) NT 10.00"/>
    <n v="1"/>
    <n v="0"/>
    <n v="0"/>
    <n v="0"/>
    <n v="0"/>
  </r>
  <r>
    <s v="20190920104625p"/>
    <x v="129"/>
    <s v="pageview"/>
    <x v="10"/>
    <n v="1"/>
    <x v="6"/>
    <s v="Windows (32-bit) NT 10.00"/>
    <n v="1"/>
    <n v="0"/>
    <n v="0"/>
    <n v="0"/>
    <n v="0"/>
  </r>
  <r>
    <s v="20190920104627p"/>
    <x v="130"/>
    <s v="pageview"/>
    <x v="12"/>
    <n v="1"/>
    <x v="6"/>
    <s v="Windows (32-bit) NT 10.00"/>
    <n v="1"/>
    <n v="0"/>
    <n v="0"/>
    <n v="0"/>
    <n v="0"/>
  </r>
  <r>
    <s v="20190920105918s"/>
    <x v="131"/>
    <s v="save"/>
    <x v="12"/>
    <n v="1"/>
    <x v="6"/>
    <s v="Windows (32-bit) NT 10.00"/>
    <n v="0"/>
    <n v="0"/>
    <n v="0"/>
    <n v="1"/>
    <n v="0"/>
  </r>
  <r>
    <s v="20190920110044s"/>
    <x v="132"/>
    <s v="save"/>
    <x v="12"/>
    <n v="1"/>
    <x v="6"/>
    <s v="Windows (32-bit) NT 10.00"/>
    <n v="0"/>
    <n v="0"/>
    <n v="0"/>
    <n v="1"/>
    <n v="0"/>
  </r>
  <r>
    <s v="20190920110215s"/>
    <x v="133"/>
    <s v="save"/>
    <x v="12"/>
    <n v="1"/>
    <x v="6"/>
    <s v="Windows (32-bit) NT 10.00"/>
    <n v="0"/>
    <n v="0"/>
    <n v="0"/>
    <n v="1"/>
    <n v="0"/>
  </r>
  <r>
    <s v="20190920110228s"/>
    <x v="134"/>
    <s v="save"/>
    <x v="12"/>
    <n v="1"/>
    <x v="6"/>
    <s v="Windows (32-bit) NT 10.00"/>
    <n v="0"/>
    <n v="0"/>
    <n v="0"/>
    <n v="1"/>
    <n v="0"/>
  </r>
  <r>
    <s v="20190920110353s"/>
    <x v="135"/>
    <s v="save"/>
    <x v="12"/>
    <n v="1"/>
    <x v="6"/>
    <s v="Windows (32-bit) NT 10.00"/>
    <n v="0"/>
    <n v="0"/>
    <n v="0"/>
    <n v="1"/>
    <n v="0"/>
  </r>
  <r>
    <s v="20190920113645s"/>
    <x v="136"/>
    <s v="save"/>
    <x v="5"/>
    <n v="1"/>
    <x v="6"/>
    <s v="Windows (32-bit) NT 10.00"/>
    <n v="0"/>
    <n v="0"/>
    <n v="0"/>
    <n v="1"/>
    <n v="0"/>
  </r>
  <r>
    <s v="20190920114537o"/>
    <x v="137"/>
    <s v="open"/>
    <x v="5"/>
    <n v="1"/>
    <x v="6"/>
    <s v="Windows (32-bit) NT 10.00"/>
    <n v="0"/>
    <n v="0"/>
    <n v="1"/>
    <n v="0"/>
    <n v="0"/>
  </r>
  <r>
    <s v="20190920114848s"/>
    <x v="138"/>
    <s v="save"/>
    <x v="5"/>
    <n v="1"/>
    <x v="6"/>
    <s v="Windows (32-bit) NT 10.00"/>
    <n v="0"/>
    <n v="0"/>
    <n v="0"/>
    <n v="1"/>
    <n v="0"/>
  </r>
  <r>
    <s v="20190920114852p"/>
    <x v="139"/>
    <s v="pageview"/>
    <x v="7"/>
    <n v="1"/>
    <x v="6"/>
    <s v="Windows (32-bit) NT 10.00"/>
    <n v="1"/>
    <n v="0"/>
    <n v="0"/>
    <n v="0"/>
    <n v="0"/>
  </r>
  <r>
    <s v="20190920114854p"/>
    <x v="140"/>
    <s v="pageview"/>
    <x v="5"/>
    <n v="1"/>
    <x v="6"/>
    <s v="Windows (32-bit) NT 10.00"/>
    <n v="1"/>
    <n v="0"/>
    <n v="0"/>
    <n v="0"/>
    <n v="0"/>
  </r>
  <r>
    <s v="20190920114854p"/>
    <x v="140"/>
    <s v="pageview"/>
    <x v="3"/>
    <n v="1"/>
    <x v="6"/>
    <s v="Windows (32-bit) NT 10.00"/>
    <n v="1"/>
    <n v="0"/>
    <n v="0"/>
    <n v="0"/>
    <n v="0"/>
  </r>
  <r>
    <s v="20190920114857p"/>
    <x v="141"/>
    <s v="pageview"/>
    <x v="5"/>
    <n v="1"/>
    <x v="6"/>
    <s v="Windows (32-bit) NT 10.00"/>
    <n v="1"/>
    <n v="0"/>
    <n v="0"/>
    <n v="0"/>
    <n v="0"/>
  </r>
  <r>
    <s v="20190920115035s"/>
    <x v="142"/>
    <s v="save"/>
    <x v="5"/>
    <n v="1"/>
    <x v="6"/>
    <s v="Windows (32-bit) NT 10.00"/>
    <n v="0"/>
    <n v="0"/>
    <n v="0"/>
    <n v="1"/>
    <n v="0"/>
  </r>
  <r>
    <s v="20190920115114s"/>
    <x v="143"/>
    <s v="save"/>
    <x v="5"/>
    <n v="1"/>
    <x v="6"/>
    <s v="Windows (32-bit) NT 10.00"/>
    <n v="0"/>
    <n v="0"/>
    <n v="0"/>
    <n v="1"/>
    <n v="0"/>
  </r>
  <r>
    <s v="20190920115205s"/>
    <x v="144"/>
    <s v="save"/>
    <x v="5"/>
    <n v="1"/>
    <x v="6"/>
    <s v="Windows (32-bit) NT 10.00"/>
    <n v="0"/>
    <n v="0"/>
    <n v="0"/>
    <n v="1"/>
    <n v="0"/>
  </r>
  <r>
    <s v="20190920115303s"/>
    <x v="145"/>
    <s v="save"/>
    <x v="5"/>
    <n v="1"/>
    <x v="6"/>
    <s v="Windows (32-bit) NT 10.00"/>
    <n v="0"/>
    <n v="0"/>
    <n v="0"/>
    <n v="1"/>
    <n v="0"/>
  </r>
  <r>
    <s v="20190920115444s"/>
    <x v="146"/>
    <s v="save"/>
    <x v="5"/>
    <n v="1"/>
    <x v="6"/>
    <s v="Windows (32-bit) NT 10.00"/>
    <n v="0"/>
    <n v="0"/>
    <n v="0"/>
    <n v="1"/>
    <n v="0"/>
  </r>
  <r>
    <s v="20190920115450p"/>
    <x v="147"/>
    <s v="pageview"/>
    <x v="3"/>
    <n v="1"/>
    <x v="6"/>
    <s v="Windows (32-bit) NT 10.00"/>
    <n v="1"/>
    <n v="0"/>
    <n v="0"/>
    <n v="0"/>
    <n v="0"/>
  </r>
  <r>
    <s v="20190920115452p"/>
    <x v="148"/>
    <s v="pageview"/>
    <x v="8"/>
    <n v="1"/>
    <x v="6"/>
    <s v="Windows (32-bit) NT 10.00"/>
    <n v="1"/>
    <n v="0"/>
    <n v="0"/>
    <n v="0"/>
    <n v="0"/>
  </r>
  <r>
    <s v="20190920115454p"/>
    <x v="149"/>
    <s v="pageview"/>
    <x v="12"/>
    <n v="1"/>
    <x v="6"/>
    <s v="Windows (32-bit) NT 10.00"/>
    <n v="1"/>
    <n v="0"/>
    <n v="0"/>
    <n v="0"/>
    <n v="0"/>
  </r>
  <r>
    <s v="20190920115512p"/>
    <x v="150"/>
    <s v="pageview"/>
    <x v="10"/>
    <n v="1"/>
    <x v="6"/>
    <s v="Windows (32-bit) NT 10.00"/>
    <n v="1"/>
    <n v="0"/>
    <n v="0"/>
    <n v="0"/>
    <n v="0"/>
  </r>
  <r>
    <s v="20190920115512p"/>
    <x v="150"/>
    <s v="pageview"/>
    <x v="12"/>
    <n v="1"/>
    <x v="6"/>
    <s v="Windows (32-bit) NT 10.00"/>
    <n v="1"/>
    <n v="0"/>
    <n v="0"/>
    <n v="0"/>
    <n v="0"/>
  </r>
  <r>
    <s v="20190920115533s"/>
    <x v="151"/>
    <s v="save"/>
    <x v="12"/>
    <n v="1"/>
    <x v="6"/>
    <s v="Windows (32-bit) NT 10.00"/>
    <n v="0"/>
    <n v="0"/>
    <n v="0"/>
    <n v="1"/>
    <n v="0"/>
  </r>
  <r>
    <s v="20190920120210s"/>
    <x v="152"/>
    <s v="save"/>
    <x v="12"/>
    <n v="1"/>
    <x v="6"/>
    <s v="Windows (32-bit) NT 10.00"/>
    <n v="0"/>
    <n v="0"/>
    <n v="0"/>
    <n v="1"/>
    <n v="0"/>
  </r>
  <r>
    <s v="20190920120345s"/>
    <x v="153"/>
    <s v="save"/>
    <x v="12"/>
    <n v="1"/>
    <x v="6"/>
    <s v="Windows (32-bit) NT 10.00"/>
    <n v="0"/>
    <n v="0"/>
    <n v="0"/>
    <n v="1"/>
    <n v="0"/>
  </r>
  <r>
    <s v="20190920120404s"/>
    <x v="154"/>
    <s v="save"/>
    <x v="12"/>
    <n v="1"/>
    <x v="6"/>
    <s v="Windows (32-bit) NT 10.00"/>
    <n v="0"/>
    <n v="0"/>
    <n v="0"/>
    <n v="1"/>
    <n v="0"/>
  </r>
  <r>
    <s v="20190920120434s"/>
    <x v="155"/>
    <s v="save"/>
    <x v="12"/>
    <n v="1"/>
    <x v="6"/>
    <s v="Windows (32-bit) NT 10.00"/>
    <n v="0"/>
    <n v="0"/>
    <n v="0"/>
    <n v="1"/>
    <n v="0"/>
  </r>
  <r>
    <s v="20190920131415p"/>
    <x v="156"/>
    <s v="pageview"/>
    <x v="4"/>
    <n v="1"/>
    <x v="0"/>
    <s v="Windows 8 Professional"/>
    <n v="1"/>
    <n v="0"/>
    <n v="0"/>
    <n v="0"/>
    <n v="0"/>
  </r>
  <r>
    <s v="20190920131415e"/>
    <x v="156"/>
    <s v="event"/>
    <x v="2"/>
    <n v="1"/>
    <x v="0"/>
    <s v="Windows 8 Professional"/>
    <n v="0"/>
    <n v="1"/>
    <n v="0"/>
    <n v="0"/>
    <n v="0"/>
  </r>
  <r>
    <s v="20190920131415p"/>
    <x v="156"/>
    <s v="pageview"/>
    <x v="1"/>
    <n v="1"/>
    <x v="5"/>
    <s v="Windows 8 Professional"/>
    <n v="1"/>
    <n v="0"/>
    <n v="0"/>
    <n v="0"/>
    <n v="0"/>
  </r>
  <r>
    <s v="20190920131415o"/>
    <x v="156"/>
    <s v="open"/>
    <x v="5"/>
    <n v="1"/>
    <x v="1"/>
    <s v="Windows XP (32-Bit)"/>
    <n v="0"/>
    <n v="0"/>
    <n v="1"/>
    <n v="0"/>
    <n v="0"/>
  </r>
  <r>
    <s v="20190920131415s"/>
    <x v="156"/>
    <s v="save"/>
    <x v="2"/>
    <n v="1"/>
    <x v="1"/>
    <s v="Windows XP (32-Bit)"/>
    <n v="0"/>
    <n v="0"/>
    <n v="0"/>
    <n v="1"/>
    <n v="0"/>
  </r>
  <r>
    <s v="20190920131415p"/>
    <x v="156"/>
    <s v="pageview"/>
    <x v="2"/>
    <n v="1"/>
    <x v="1"/>
    <s v="Windows XP (32-Bit)"/>
    <n v="1"/>
    <n v="0"/>
    <n v="0"/>
    <n v="0"/>
    <n v="0"/>
  </r>
  <r>
    <s v="20190920131415s"/>
    <x v="156"/>
    <s v="save"/>
    <x v="5"/>
    <n v="1"/>
    <x v="2"/>
    <s v="Windows XP (32-Bit)"/>
    <n v="0"/>
    <n v="0"/>
    <n v="0"/>
    <n v="1"/>
    <n v="0"/>
  </r>
  <r>
    <s v="20190920131415p"/>
    <x v="156"/>
    <s v="pageview"/>
    <x v="0"/>
    <n v="1"/>
    <x v="2"/>
    <s v="Windows XP (32-Bit)"/>
    <n v="1"/>
    <n v="0"/>
    <n v="0"/>
    <n v="0"/>
    <n v="0"/>
  </r>
  <r>
    <s v="20190920131415e"/>
    <x v="156"/>
    <s v="event"/>
    <x v="4"/>
    <n v="1"/>
    <x v="3"/>
    <s v="Windows XP (32-Bit)"/>
    <n v="0"/>
    <n v="1"/>
    <n v="0"/>
    <n v="0"/>
    <n v="0"/>
  </r>
  <r>
    <s v="20190920131415p"/>
    <x v="156"/>
    <s v="pageview"/>
    <x v="0"/>
    <n v="1"/>
    <x v="3"/>
    <s v="Windows XP (32-Bit)"/>
    <n v="1"/>
    <n v="0"/>
    <n v="0"/>
    <n v="0"/>
    <n v="0"/>
  </r>
  <r>
    <s v="20190920131415p"/>
    <x v="156"/>
    <s v="pageview"/>
    <x v="3"/>
    <n v="1"/>
    <x v="3"/>
    <s v="Windows XP (32-Bit)"/>
    <n v="1"/>
    <n v="0"/>
    <n v="0"/>
    <n v="0"/>
    <n v="0"/>
  </r>
  <r>
    <s v="20190920131415p"/>
    <x v="156"/>
    <s v="pageview"/>
    <x v="3"/>
    <n v="1"/>
    <x v="3"/>
    <s v="Windows XP (32-Bit)"/>
    <n v="1"/>
    <n v="0"/>
    <n v="0"/>
    <n v="0"/>
    <n v="0"/>
  </r>
  <r>
    <s v="20190920131415p"/>
    <x v="156"/>
    <s v="pageview"/>
    <x v="5"/>
    <n v="1"/>
    <x v="4"/>
    <s v="Windows 8 Professional"/>
    <n v="1"/>
    <n v="0"/>
    <n v="0"/>
    <n v="0"/>
    <n v="0"/>
  </r>
  <r>
    <s v="20190920131415e"/>
    <x v="156"/>
    <s v="event"/>
    <x v="4"/>
    <n v="1"/>
    <x v="4"/>
    <s v="Windows 8 Professional"/>
    <n v="0"/>
    <n v="1"/>
    <n v="0"/>
    <n v="0"/>
    <n v="0"/>
  </r>
  <r>
    <s v="20190920201505o"/>
    <x v="157"/>
    <s v="open"/>
    <x v="12"/>
    <n v="1"/>
    <x v="6"/>
    <s v="Windows (32-bit) NT 10.00"/>
    <n v="0"/>
    <n v="0"/>
    <n v="1"/>
    <n v="0"/>
    <n v="0"/>
  </r>
  <r>
    <s v="20190920201514p"/>
    <x v="158"/>
    <s v="pageview"/>
    <x v="3"/>
    <n v="1"/>
    <x v="6"/>
    <s v="Windows (32-bit) NT 10.00"/>
    <n v="1"/>
    <n v="0"/>
    <n v="0"/>
    <n v="0"/>
    <n v="0"/>
  </r>
  <r>
    <s v="20190920201515p"/>
    <x v="159"/>
    <s v="pageview"/>
    <x v="8"/>
    <n v="1"/>
    <x v="6"/>
    <s v="Windows (32-bit) NT 10.00"/>
    <n v="1"/>
    <n v="0"/>
    <n v="0"/>
    <n v="0"/>
    <n v="0"/>
  </r>
  <r>
    <s v="20190920201516p"/>
    <x v="160"/>
    <s v="pageview"/>
    <x v="12"/>
    <n v="1"/>
    <x v="6"/>
    <s v="Windows (32-bit) NT 10.00"/>
    <n v="1"/>
    <n v="0"/>
    <n v="0"/>
    <n v="0"/>
    <n v="0"/>
  </r>
  <r>
    <s v="20190920201529p"/>
    <x v="161"/>
    <s v="pageview"/>
    <x v="11"/>
    <n v="1"/>
    <x v="6"/>
    <s v="Windows (32-bit) NT 10.00"/>
    <n v="1"/>
    <n v="0"/>
    <n v="0"/>
    <n v="0"/>
    <n v="0"/>
  </r>
  <r>
    <s v="20190920201532p"/>
    <x v="162"/>
    <s v="pageview"/>
    <x v="10"/>
    <n v="1"/>
    <x v="6"/>
    <s v="Windows (32-bit) NT 10.00"/>
    <n v="1"/>
    <n v="0"/>
    <n v="0"/>
    <n v="0"/>
    <n v="0"/>
  </r>
  <r>
    <s v="20190920201533p"/>
    <x v="163"/>
    <s v="pageview"/>
    <x v="8"/>
    <n v="1"/>
    <x v="6"/>
    <s v="Windows (32-bit) NT 10.00"/>
    <n v="1"/>
    <n v="0"/>
    <n v="0"/>
    <n v="0"/>
    <n v="0"/>
  </r>
  <r>
    <s v="20190920201535p"/>
    <x v="164"/>
    <s v="pageview"/>
    <x v="12"/>
    <n v="1"/>
    <x v="6"/>
    <s v="Windows (32-bit) NT 10.00"/>
    <n v="1"/>
    <n v="0"/>
    <n v="0"/>
    <n v="0"/>
    <n v="0"/>
  </r>
  <r>
    <s v="20190920201537p"/>
    <x v="165"/>
    <s v="pageview"/>
    <x v="3"/>
    <n v="1"/>
    <x v="6"/>
    <s v="Windows (32-bit) NT 10.00"/>
    <n v="1"/>
    <n v="0"/>
    <n v="0"/>
    <n v="0"/>
    <n v="0"/>
  </r>
  <r>
    <s v="20190920201550p"/>
    <x v="166"/>
    <s v="pageview"/>
    <x v="7"/>
    <n v="1"/>
    <x v="6"/>
    <s v="Windows (32-bit) NT 10.00"/>
    <n v="1"/>
    <n v="0"/>
    <n v="0"/>
    <n v="0"/>
    <n v="0"/>
  </r>
  <r>
    <s v="20190920201551p"/>
    <x v="167"/>
    <s v="pageview"/>
    <x v="5"/>
    <n v="1"/>
    <x v="6"/>
    <s v="Windows (32-bit) NT 10.00"/>
    <n v="1"/>
    <n v="0"/>
    <n v="0"/>
    <n v="0"/>
    <n v="0"/>
  </r>
  <r>
    <s v="20190920201552p"/>
    <x v="168"/>
    <s v="pageview"/>
    <x v="7"/>
    <n v="1"/>
    <x v="6"/>
    <s v="Windows (32-bit) NT 10.00"/>
    <n v="1"/>
    <n v="0"/>
    <n v="0"/>
    <n v="0"/>
    <n v="0"/>
  </r>
  <r>
    <s v="20190920201554p"/>
    <x v="169"/>
    <s v="pageview"/>
    <x v="12"/>
    <n v="1"/>
    <x v="6"/>
    <s v="Windows (32-bit) NT 10.00"/>
    <n v="1"/>
    <n v="0"/>
    <n v="0"/>
    <n v="0"/>
    <n v="0"/>
  </r>
  <r>
    <s v="20190920201601p"/>
    <x v="170"/>
    <s v="pageview"/>
    <x v="8"/>
    <n v="1"/>
    <x v="6"/>
    <s v="Windows (32-bit) NT 10.00"/>
    <n v="1"/>
    <n v="0"/>
    <n v="0"/>
    <n v="0"/>
    <n v="0"/>
  </r>
  <r>
    <s v="20190920201604p"/>
    <x v="171"/>
    <s v="pageview"/>
    <x v="10"/>
    <n v="1"/>
    <x v="6"/>
    <s v="Windows (32-bit) NT 10.00"/>
    <n v="1"/>
    <n v="0"/>
    <n v="0"/>
    <n v="0"/>
    <n v="0"/>
  </r>
  <r>
    <s v="20190920201606p"/>
    <x v="172"/>
    <s v="pageview"/>
    <x v="11"/>
    <n v="1"/>
    <x v="6"/>
    <s v="Windows (32-bit) NT 10.00"/>
    <n v="1"/>
    <n v="0"/>
    <n v="0"/>
    <n v="0"/>
    <n v="0"/>
  </r>
  <r>
    <s v="20190920201620p"/>
    <x v="173"/>
    <s v="pageview"/>
    <x v="12"/>
    <n v="1"/>
    <x v="6"/>
    <s v="Windows (32-bit) NT 10.00"/>
    <n v="1"/>
    <n v="0"/>
    <n v="0"/>
    <n v="0"/>
    <n v="0"/>
  </r>
  <r>
    <s v="20190920202036s"/>
    <x v="174"/>
    <s v="save"/>
    <x v="12"/>
    <n v="1"/>
    <x v="6"/>
    <s v="Windows (32-bit) NT 10.00"/>
    <n v="0"/>
    <n v="0"/>
    <n v="0"/>
    <n v="1"/>
    <n v="0"/>
  </r>
  <r>
    <s v="20190920202301s"/>
    <x v="175"/>
    <s v="save"/>
    <x v="12"/>
    <n v="1"/>
    <x v="6"/>
    <s v="Windows (32-bit) NT 10.00"/>
    <n v="0"/>
    <n v="0"/>
    <n v="0"/>
    <n v="1"/>
    <n v="0"/>
  </r>
  <r>
    <s v="20190920202444s"/>
    <x v="176"/>
    <s v="save"/>
    <x v="12"/>
    <n v="1"/>
    <x v="6"/>
    <s v="Windows (32-bit) NT 10.00"/>
    <n v="0"/>
    <n v="0"/>
    <n v="0"/>
    <n v="1"/>
    <n v="0"/>
  </r>
  <r>
    <s v="20190920202956s"/>
    <x v="177"/>
    <s v="save"/>
    <x v="12"/>
    <n v="1"/>
    <x v="6"/>
    <s v="Windows (32-bit) NT 10.00"/>
    <n v="0"/>
    <n v="0"/>
    <n v="0"/>
    <n v="1"/>
    <n v="0"/>
  </r>
  <r>
    <s v="20190920203100s"/>
    <x v="178"/>
    <s v="save"/>
    <x v="12"/>
    <n v="1"/>
    <x v="6"/>
    <s v="Windows (32-bit) NT 10.00"/>
    <n v="0"/>
    <n v="0"/>
    <n v="0"/>
    <n v="1"/>
    <n v="0"/>
  </r>
  <r>
    <s v="20190920203112n"/>
    <x v="179"/>
    <s v="newpage"/>
    <x v="2"/>
    <n v="1"/>
    <x v="6"/>
    <s v="Windows (32-bit) NT 10.00"/>
    <n v="0"/>
    <n v="0"/>
    <n v="0"/>
    <n v="0"/>
    <n v="0"/>
  </r>
  <r>
    <s v="20190920203112p"/>
    <x v="179"/>
    <s v="pageview"/>
    <x v="2"/>
    <n v="1"/>
    <x v="6"/>
    <s v="Windows (32-bit) NT 10.00"/>
    <n v="1"/>
    <n v="0"/>
    <n v="0"/>
    <n v="0"/>
    <n v="0"/>
  </r>
  <r>
    <s v="20190920203156p"/>
    <x v="180"/>
    <s v="pageview"/>
    <x v="11"/>
    <n v="1"/>
    <x v="6"/>
    <s v="Windows (32-bit) NT 10.00"/>
    <n v="1"/>
    <n v="0"/>
    <n v="0"/>
    <n v="0"/>
    <n v="0"/>
  </r>
  <r>
    <s v="20190920203243s"/>
    <x v="181"/>
    <s v="save"/>
    <x v="11"/>
    <n v="1"/>
    <x v="6"/>
    <s v="Windows (32-bit) NT 10.00"/>
    <n v="0"/>
    <n v="0"/>
    <n v="0"/>
    <n v="1"/>
    <n v="0"/>
  </r>
  <r>
    <s v="20190920203246n"/>
    <x v="182"/>
    <s v="newpage"/>
    <x v="0"/>
    <n v="1"/>
    <x v="6"/>
    <s v="Windows (32-bit) NT 10.00"/>
    <n v="0"/>
    <n v="0"/>
    <n v="0"/>
    <n v="0"/>
    <n v="0"/>
  </r>
  <r>
    <s v="20190920203246p"/>
    <x v="182"/>
    <s v="pageview"/>
    <x v="0"/>
    <n v="1"/>
    <x v="6"/>
    <s v="Windows (32-bit) NT 10.00"/>
    <n v="1"/>
    <n v="0"/>
    <n v="0"/>
    <n v="0"/>
    <n v="0"/>
  </r>
  <r>
    <s v="20190920203416s"/>
    <x v="183"/>
    <s v="save"/>
    <x v="0"/>
    <n v="1"/>
    <x v="6"/>
    <s v="Windows (32-bit) NT 10.00"/>
    <n v="0"/>
    <n v="0"/>
    <n v="0"/>
    <n v="1"/>
    <n v="0"/>
  </r>
  <r>
    <s v="20190920203419n"/>
    <x v="184"/>
    <s v="newpage"/>
    <x v="9"/>
    <n v="1"/>
    <x v="6"/>
    <s v="Windows (32-bit) NT 10.00"/>
    <n v="0"/>
    <n v="0"/>
    <n v="0"/>
    <n v="0"/>
    <n v="0"/>
  </r>
  <r>
    <s v="20190920203419p"/>
    <x v="184"/>
    <s v="pageview"/>
    <x v="9"/>
    <n v="1"/>
    <x v="6"/>
    <s v="Windows (32-bit) NT 10.00"/>
    <n v="1"/>
    <n v="0"/>
    <n v="0"/>
    <n v="0"/>
    <n v="0"/>
  </r>
  <r>
    <s v="20190920203532s"/>
    <x v="185"/>
    <s v="save"/>
    <x v="9"/>
    <n v="1"/>
    <x v="6"/>
    <s v="Windows (32-bit) NT 10.00"/>
    <n v="0"/>
    <n v="0"/>
    <n v="0"/>
    <n v="1"/>
    <n v="0"/>
  </r>
  <r>
    <s v="20190920203615p"/>
    <x v="186"/>
    <s v="pageview"/>
    <x v="0"/>
    <n v="1"/>
    <x v="6"/>
    <s v="Windows (32-bit) NT 10.00"/>
    <n v="1"/>
    <n v="0"/>
    <n v="0"/>
    <n v="0"/>
    <n v="0"/>
  </r>
  <r>
    <s v="20190920203618p"/>
    <x v="187"/>
    <s v="pageview"/>
    <x v="11"/>
    <n v="1"/>
    <x v="6"/>
    <s v="Windows (32-bit) NT 10.00"/>
    <n v="1"/>
    <n v="0"/>
    <n v="0"/>
    <n v="0"/>
    <n v="0"/>
  </r>
  <r>
    <s v="20190920203626s"/>
    <x v="188"/>
    <s v="save"/>
    <x v="11"/>
    <n v="1"/>
    <x v="6"/>
    <s v="Windows (32-bit) NT 10.00"/>
    <n v="0"/>
    <n v="0"/>
    <n v="0"/>
    <n v="1"/>
    <n v="0"/>
  </r>
  <r>
    <s v="20190920203926s"/>
    <x v="189"/>
    <s v="save"/>
    <x v="11"/>
    <n v="1"/>
    <x v="6"/>
    <s v="Windows (32-bit) NT 10.00"/>
    <n v="0"/>
    <n v="0"/>
    <n v="0"/>
    <n v="1"/>
    <n v="0"/>
  </r>
  <r>
    <s v="20190920204011s"/>
    <x v="190"/>
    <s v="save"/>
    <x v="11"/>
    <n v="1"/>
    <x v="6"/>
    <s v="Windows (32-bit) NT 10.00"/>
    <n v="0"/>
    <n v="0"/>
    <n v="0"/>
    <n v="1"/>
    <n v="0"/>
  </r>
  <r>
    <s v="20190920204043s"/>
    <x v="191"/>
    <s v="save"/>
    <x v="11"/>
    <n v="1"/>
    <x v="6"/>
    <s v="Windows (32-bit) NT 10.00"/>
    <n v="0"/>
    <n v="0"/>
    <n v="0"/>
    <n v="1"/>
    <n v="0"/>
  </r>
  <r>
    <s v="20190920204131s"/>
    <x v="192"/>
    <s v="save"/>
    <x v="11"/>
    <n v="1"/>
    <x v="6"/>
    <s v="Windows (32-bit) NT 10.00"/>
    <n v="0"/>
    <n v="0"/>
    <n v="0"/>
    <n v="1"/>
    <n v="0"/>
  </r>
  <r>
    <s v="20190920204210s"/>
    <x v="193"/>
    <s v="save"/>
    <x v="11"/>
    <n v="1"/>
    <x v="6"/>
    <s v="Windows (32-bit) NT 10.00"/>
    <n v="0"/>
    <n v="0"/>
    <n v="0"/>
    <n v="1"/>
    <n v="0"/>
  </r>
  <r>
    <s v="20190920204213p"/>
    <x v="194"/>
    <s v="pageview"/>
    <x v="5"/>
    <n v="1"/>
    <x v="6"/>
    <s v="Windows (32-bit) NT 10.00"/>
    <n v="1"/>
    <n v="0"/>
    <n v="0"/>
    <n v="0"/>
    <n v="0"/>
  </r>
  <r>
    <s v="20190920204215s"/>
    <x v="195"/>
    <s v="save"/>
    <x v="5"/>
    <n v="1"/>
    <x v="6"/>
    <s v="Windows (32-bit) NT 10.00"/>
    <n v="0"/>
    <n v="0"/>
    <n v="0"/>
    <n v="1"/>
    <n v="0"/>
  </r>
  <r>
    <s v="20190921131415p"/>
    <x v="196"/>
    <s v="pageview"/>
    <x v="0"/>
    <n v="1"/>
    <x v="0"/>
    <s v="Windows 8 Professional"/>
    <n v="1"/>
    <n v="0"/>
    <n v="0"/>
    <n v="0"/>
    <n v="0"/>
  </r>
  <r>
    <s v="20190921131415p"/>
    <x v="196"/>
    <s v="pageview"/>
    <x v="3"/>
    <n v="1"/>
    <x v="0"/>
    <s v="Windows 8 Professional"/>
    <n v="1"/>
    <n v="0"/>
    <n v="0"/>
    <n v="0"/>
    <n v="0"/>
  </r>
  <r>
    <s v="20190921131415p"/>
    <x v="196"/>
    <s v="pageview"/>
    <x v="0"/>
    <n v="1"/>
    <x v="5"/>
    <s v="Windows 8 Professional"/>
    <n v="1"/>
    <n v="0"/>
    <n v="0"/>
    <n v="0"/>
    <n v="0"/>
  </r>
  <r>
    <s v="20190921131415o"/>
    <x v="196"/>
    <s v="open"/>
    <x v="1"/>
    <n v="1"/>
    <x v="5"/>
    <s v="Windows 8 Professional"/>
    <n v="0"/>
    <n v="0"/>
    <n v="1"/>
    <n v="0"/>
    <n v="0"/>
  </r>
  <r>
    <s v="20190921131415o"/>
    <x v="196"/>
    <s v="open"/>
    <x v="1"/>
    <n v="1"/>
    <x v="5"/>
    <s v="Windows 8 Professional"/>
    <n v="0"/>
    <n v="0"/>
    <n v="1"/>
    <n v="0"/>
    <n v="0"/>
  </r>
  <r>
    <s v="20190921131415p"/>
    <x v="196"/>
    <s v="pageview"/>
    <x v="4"/>
    <n v="1"/>
    <x v="5"/>
    <s v="Windows 8 Professional"/>
    <n v="1"/>
    <n v="0"/>
    <n v="0"/>
    <n v="0"/>
    <n v="0"/>
  </r>
  <r>
    <s v="20190921131415p"/>
    <x v="196"/>
    <s v="pageview"/>
    <x v="4"/>
    <n v="1"/>
    <x v="1"/>
    <s v="Windows XP (32-Bit)"/>
    <n v="1"/>
    <n v="0"/>
    <n v="0"/>
    <n v="0"/>
    <n v="0"/>
  </r>
  <r>
    <s v="20190921131415p"/>
    <x v="196"/>
    <s v="pageview"/>
    <x v="4"/>
    <n v="1"/>
    <x v="1"/>
    <s v="Windows XP (32-Bit)"/>
    <n v="1"/>
    <n v="0"/>
    <n v="0"/>
    <n v="0"/>
    <n v="0"/>
  </r>
  <r>
    <s v="20190921131415p"/>
    <x v="196"/>
    <s v="pageview"/>
    <x v="1"/>
    <n v="1"/>
    <x v="2"/>
    <s v="Windows XP (32-Bit)"/>
    <n v="1"/>
    <n v="0"/>
    <n v="0"/>
    <n v="0"/>
    <n v="0"/>
  </r>
  <r>
    <s v="20190921131415p"/>
    <x v="196"/>
    <s v="pageview"/>
    <x v="0"/>
    <n v="1"/>
    <x v="2"/>
    <s v="Windows XP (32-Bit)"/>
    <n v="1"/>
    <n v="0"/>
    <n v="0"/>
    <n v="0"/>
    <n v="0"/>
  </r>
  <r>
    <s v="20190921131415p"/>
    <x v="196"/>
    <s v="pageview"/>
    <x v="3"/>
    <n v="1"/>
    <x v="3"/>
    <s v="Windows XP (32-Bit)"/>
    <n v="1"/>
    <n v="0"/>
    <n v="0"/>
    <n v="0"/>
    <n v="0"/>
  </r>
  <r>
    <s v="20190921131415p"/>
    <x v="196"/>
    <s v="pageview"/>
    <x v="4"/>
    <n v="1"/>
    <x v="4"/>
    <s v="Windows 8 Professional"/>
    <n v="1"/>
    <n v="0"/>
    <n v="0"/>
    <n v="0"/>
    <n v="0"/>
  </r>
  <r>
    <s v="20190921131415p"/>
    <x v="196"/>
    <s v="pageview"/>
    <x v="2"/>
    <n v="1"/>
    <x v="4"/>
    <s v="Windows 8 Professional"/>
    <n v="1"/>
    <n v="0"/>
    <n v="0"/>
    <n v="0"/>
    <n v="0"/>
  </r>
  <r>
    <s v="20190921131415o"/>
    <x v="196"/>
    <s v="open"/>
    <x v="5"/>
    <n v="1"/>
    <x v="4"/>
    <s v="Windows 8 Professional"/>
    <n v="0"/>
    <n v="0"/>
    <n v="1"/>
    <n v="0"/>
    <n v="0"/>
  </r>
  <r>
    <s v="20190922131415p"/>
    <x v="197"/>
    <s v="pageview"/>
    <x v="3"/>
    <n v="1"/>
    <x v="0"/>
    <s v="Windows 8 Professional"/>
    <n v="1"/>
    <n v="0"/>
    <n v="0"/>
    <n v="0"/>
    <n v="0"/>
  </r>
  <r>
    <s v="20190922131415p"/>
    <x v="197"/>
    <s v="pageview"/>
    <x v="1"/>
    <n v="1"/>
    <x v="5"/>
    <s v="Windows 8 Professional"/>
    <n v="1"/>
    <n v="0"/>
    <n v="0"/>
    <n v="0"/>
    <n v="0"/>
  </r>
  <r>
    <s v="20190922131415p"/>
    <x v="197"/>
    <s v="pageview"/>
    <x v="4"/>
    <n v="1"/>
    <x v="1"/>
    <s v="Windows XP (32-Bit)"/>
    <n v="1"/>
    <n v="0"/>
    <n v="0"/>
    <n v="0"/>
    <n v="0"/>
  </r>
  <r>
    <s v="20190922131415s"/>
    <x v="197"/>
    <s v="save"/>
    <x v="5"/>
    <n v="1"/>
    <x v="1"/>
    <s v="Windows XP (32-Bit)"/>
    <n v="0"/>
    <n v="0"/>
    <n v="0"/>
    <n v="1"/>
    <n v="0"/>
  </r>
  <r>
    <s v="20190922131415p"/>
    <x v="197"/>
    <s v="pageview"/>
    <x v="0"/>
    <n v="1"/>
    <x v="3"/>
    <s v="Windows XP (32-Bit)"/>
    <n v="1"/>
    <n v="0"/>
    <n v="0"/>
    <n v="0"/>
    <n v="0"/>
  </r>
  <r>
    <s v="20190922131415p"/>
    <x v="197"/>
    <s v="pageview"/>
    <x v="5"/>
    <n v="1"/>
    <x v="4"/>
    <s v="Windows 8 Professional"/>
    <n v="1"/>
    <n v="0"/>
    <n v="0"/>
    <n v="0"/>
    <n v="0"/>
  </r>
  <r>
    <s v="20190923131415p"/>
    <x v="198"/>
    <s v="pageview"/>
    <x v="4"/>
    <n v="1"/>
    <x v="0"/>
    <s v="Windows 8 Professional"/>
    <n v="1"/>
    <n v="0"/>
    <n v="0"/>
    <n v="0"/>
    <n v="0"/>
  </r>
  <r>
    <s v="20190923131415s"/>
    <x v="198"/>
    <s v="save"/>
    <x v="1"/>
    <n v="1"/>
    <x v="0"/>
    <s v="Windows 8 Professional"/>
    <n v="0"/>
    <n v="0"/>
    <n v="0"/>
    <n v="1"/>
    <n v="0"/>
  </r>
  <r>
    <s v="20190923131415p"/>
    <x v="198"/>
    <s v="pageview"/>
    <x v="3"/>
    <n v="1"/>
    <x v="0"/>
    <s v="Windows 8 Professional"/>
    <n v="1"/>
    <n v="0"/>
    <n v="0"/>
    <n v="0"/>
    <n v="0"/>
  </r>
  <r>
    <s v="20190923131415p"/>
    <x v="198"/>
    <s v="pageview"/>
    <x v="4"/>
    <n v="1"/>
    <x v="5"/>
    <s v="Windows 8 Professional"/>
    <n v="1"/>
    <n v="0"/>
    <n v="0"/>
    <n v="0"/>
    <n v="0"/>
  </r>
  <r>
    <s v="20190923131415e"/>
    <x v="198"/>
    <s v="event"/>
    <x v="0"/>
    <n v="1"/>
    <x v="5"/>
    <s v="Windows 8 Professional"/>
    <n v="0"/>
    <n v="1"/>
    <n v="0"/>
    <n v="0"/>
    <n v="0"/>
  </r>
  <r>
    <s v="20190923131415e"/>
    <x v="198"/>
    <s v="event"/>
    <x v="1"/>
    <n v="1"/>
    <x v="1"/>
    <s v="Windows XP (32-Bit)"/>
    <n v="0"/>
    <n v="1"/>
    <n v="0"/>
    <n v="0"/>
    <n v="0"/>
  </r>
  <r>
    <s v="20190923131415p"/>
    <x v="198"/>
    <s v="pageview"/>
    <x v="5"/>
    <n v="1"/>
    <x v="1"/>
    <s v="Windows XP (32-Bit)"/>
    <n v="1"/>
    <n v="0"/>
    <n v="0"/>
    <n v="0"/>
    <n v="0"/>
  </r>
  <r>
    <s v="20190923131415p"/>
    <x v="198"/>
    <s v="pageview"/>
    <x v="5"/>
    <n v="1"/>
    <x v="1"/>
    <s v="Windows XP (32-Bit)"/>
    <n v="1"/>
    <n v="0"/>
    <n v="0"/>
    <n v="0"/>
    <n v="0"/>
  </r>
  <r>
    <s v="20190923131415p"/>
    <x v="198"/>
    <s v="pageview"/>
    <x v="3"/>
    <n v="1"/>
    <x v="2"/>
    <s v="Windows XP (32-Bit)"/>
    <n v="1"/>
    <n v="0"/>
    <n v="0"/>
    <n v="0"/>
    <n v="0"/>
  </r>
  <r>
    <s v="20190923201739p"/>
    <x v="199"/>
    <s v="pageview"/>
    <x v="12"/>
    <n v="1"/>
    <x v="6"/>
    <s v="Windows (32-bit) NT 10.00"/>
    <n v="1"/>
    <n v="0"/>
    <n v="0"/>
    <n v="0"/>
    <n v="0"/>
  </r>
  <r>
    <s v="20190924131415p"/>
    <x v="200"/>
    <s v="pageview"/>
    <x v="3"/>
    <n v="1"/>
    <x v="5"/>
    <s v="Windows 8 Professional"/>
    <n v="1"/>
    <n v="0"/>
    <n v="0"/>
    <n v="0"/>
    <n v="0"/>
  </r>
  <r>
    <s v="20190924131415p"/>
    <x v="200"/>
    <s v="pageview"/>
    <x v="1"/>
    <n v="1"/>
    <x v="2"/>
    <s v="Windows XP (32-Bit)"/>
    <n v="1"/>
    <n v="0"/>
    <n v="0"/>
    <n v="0"/>
    <n v="0"/>
  </r>
  <r>
    <s v="20190924131415p"/>
    <x v="200"/>
    <s v="pageview"/>
    <x v="0"/>
    <n v="1"/>
    <x v="2"/>
    <s v="Windows XP (32-Bit)"/>
    <n v="1"/>
    <n v="0"/>
    <n v="0"/>
    <n v="0"/>
    <n v="0"/>
  </r>
  <r>
    <s v="20190924131415p"/>
    <x v="200"/>
    <s v="pageview"/>
    <x v="5"/>
    <n v="1"/>
    <x v="2"/>
    <s v="Windows XP (32-Bit)"/>
    <n v="1"/>
    <n v="0"/>
    <n v="0"/>
    <n v="0"/>
    <n v="0"/>
  </r>
  <r>
    <s v="20190924131415p"/>
    <x v="200"/>
    <s v="pageview"/>
    <x v="3"/>
    <n v="1"/>
    <x v="2"/>
    <s v="Windows XP (32-Bit)"/>
    <n v="1"/>
    <n v="0"/>
    <n v="0"/>
    <n v="0"/>
    <n v="0"/>
  </r>
  <r>
    <s v="20190924131415p"/>
    <x v="200"/>
    <s v="pageview"/>
    <x v="2"/>
    <n v="1"/>
    <x v="3"/>
    <s v="Windows XP (32-Bit)"/>
    <n v="1"/>
    <n v="0"/>
    <n v="0"/>
    <n v="0"/>
    <n v="0"/>
  </r>
  <r>
    <s v="20190924131415p"/>
    <x v="200"/>
    <s v="pageview"/>
    <x v="0"/>
    <n v="1"/>
    <x v="4"/>
    <s v="Windows 8 Professional"/>
    <n v="1"/>
    <n v="0"/>
    <n v="0"/>
    <n v="0"/>
    <n v="0"/>
  </r>
  <r>
    <s v="20190924131415p"/>
    <x v="200"/>
    <s v="pageview"/>
    <x v="5"/>
    <n v="1"/>
    <x v="4"/>
    <s v="Windows 8 Professional"/>
    <n v="1"/>
    <n v="0"/>
    <n v="0"/>
    <n v="0"/>
    <n v="0"/>
  </r>
  <r>
    <s v="20190925131415o"/>
    <x v="201"/>
    <s v="open"/>
    <x v="2"/>
    <n v="1"/>
    <x v="2"/>
    <s v="Windows XP (32-Bit)"/>
    <n v="0"/>
    <n v="0"/>
    <n v="1"/>
    <n v="0"/>
    <n v="0"/>
  </r>
  <r>
    <s v="20190925131415p"/>
    <x v="201"/>
    <s v="pageview"/>
    <x v="0"/>
    <n v="1"/>
    <x v="3"/>
    <s v="Windows XP (32-Bit)"/>
    <n v="1"/>
    <n v="0"/>
    <n v="0"/>
    <n v="0"/>
    <n v="0"/>
  </r>
  <r>
    <s v="20190925131415p"/>
    <x v="201"/>
    <s v="pageview"/>
    <x v="1"/>
    <n v="1"/>
    <x v="4"/>
    <s v="Windows 8 Professional"/>
    <n v="1"/>
    <n v="0"/>
    <n v="0"/>
    <n v="0"/>
    <n v="0"/>
  </r>
  <r>
    <s v="20190925131415p"/>
    <x v="201"/>
    <s v="pageview"/>
    <x v="1"/>
    <n v="1"/>
    <x v="4"/>
    <s v="Windows 8 Professional"/>
    <n v="1"/>
    <n v="0"/>
    <n v="0"/>
    <n v="0"/>
    <n v="0"/>
  </r>
  <r>
    <s v="20190925131415p"/>
    <x v="201"/>
    <s v="pageview"/>
    <x v="2"/>
    <n v="1"/>
    <x v="4"/>
    <s v="Windows 8 Professional"/>
    <n v="1"/>
    <n v="0"/>
    <n v="0"/>
    <n v="0"/>
    <n v="0"/>
  </r>
  <r>
    <s v="20190925131415s"/>
    <x v="201"/>
    <s v="save"/>
    <x v="3"/>
    <n v="1"/>
    <x v="4"/>
    <s v="Windows 8 Professional"/>
    <n v="0"/>
    <n v="0"/>
    <n v="0"/>
    <n v="1"/>
    <n v="0"/>
  </r>
  <r>
    <s v="20190926131415p"/>
    <x v="202"/>
    <s v="pageview"/>
    <x v="1"/>
    <n v="1"/>
    <x v="0"/>
    <s v="Windows 8 Professional"/>
    <n v="1"/>
    <n v="0"/>
    <n v="0"/>
    <n v="0"/>
    <n v="0"/>
  </r>
  <r>
    <s v="20190926131415p"/>
    <x v="202"/>
    <s v="pageview"/>
    <x v="2"/>
    <n v="1"/>
    <x v="0"/>
    <s v="Windows 8 Professional"/>
    <n v="1"/>
    <n v="0"/>
    <n v="0"/>
    <n v="0"/>
    <n v="0"/>
  </r>
  <r>
    <s v="20190926131415e"/>
    <x v="202"/>
    <s v="event"/>
    <x v="4"/>
    <n v="1"/>
    <x v="2"/>
    <s v="Windows XP (32-Bit)"/>
    <n v="0"/>
    <n v="1"/>
    <n v="0"/>
    <n v="0"/>
    <n v="0"/>
  </r>
  <r>
    <s v="20190926131415p"/>
    <x v="202"/>
    <s v="pageview"/>
    <x v="1"/>
    <n v="1"/>
    <x v="3"/>
    <s v="Windows XP (32-Bit)"/>
    <n v="1"/>
    <n v="0"/>
    <n v="0"/>
    <n v="0"/>
    <n v="0"/>
  </r>
  <r>
    <s v="20190926131415p"/>
    <x v="202"/>
    <s v="pageview"/>
    <x v="2"/>
    <n v="1"/>
    <x v="4"/>
    <s v="Windows 8 Professional"/>
    <n v="1"/>
    <n v="0"/>
    <n v="0"/>
    <n v="0"/>
    <n v="0"/>
  </r>
  <r>
    <s v="20190927131415p"/>
    <x v="203"/>
    <s v="pageview"/>
    <x v="5"/>
    <n v="1"/>
    <x v="0"/>
    <s v="Windows 8 Professional"/>
    <n v="1"/>
    <n v="0"/>
    <n v="0"/>
    <n v="0"/>
    <n v="0"/>
  </r>
  <r>
    <s v="20190927131415p"/>
    <x v="203"/>
    <s v="pageview"/>
    <x v="2"/>
    <n v="1"/>
    <x v="5"/>
    <s v="Windows 8 Professional"/>
    <n v="1"/>
    <n v="0"/>
    <n v="0"/>
    <n v="0"/>
    <n v="0"/>
  </r>
  <r>
    <s v="20190927131415p"/>
    <x v="203"/>
    <s v="pageview"/>
    <x v="0"/>
    <n v="1"/>
    <x v="5"/>
    <s v="Windows 8 Professional"/>
    <n v="1"/>
    <n v="0"/>
    <n v="0"/>
    <n v="0"/>
    <n v="0"/>
  </r>
  <r>
    <s v="20190927131415e"/>
    <x v="203"/>
    <s v="event"/>
    <x v="3"/>
    <n v="1"/>
    <x v="1"/>
    <s v="Windows XP (32-Bit)"/>
    <n v="0"/>
    <n v="1"/>
    <n v="0"/>
    <n v="0"/>
    <n v="0"/>
  </r>
  <r>
    <s v="20190927131415s"/>
    <x v="203"/>
    <s v="save"/>
    <x v="2"/>
    <n v="1"/>
    <x v="1"/>
    <s v="Windows XP (32-Bit)"/>
    <n v="0"/>
    <n v="0"/>
    <n v="0"/>
    <n v="1"/>
    <n v="0"/>
  </r>
  <r>
    <s v="20190927131415p"/>
    <x v="203"/>
    <s v="pageview"/>
    <x v="5"/>
    <n v="1"/>
    <x v="2"/>
    <s v="Windows XP (32-Bit)"/>
    <n v="1"/>
    <n v="0"/>
    <n v="0"/>
    <n v="0"/>
    <n v="0"/>
  </r>
  <r>
    <s v="20190927131415p"/>
    <x v="203"/>
    <s v="pageview"/>
    <x v="2"/>
    <n v="1"/>
    <x v="2"/>
    <s v="Windows XP (32-Bit)"/>
    <n v="1"/>
    <n v="0"/>
    <n v="0"/>
    <n v="0"/>
    <n v="0"/>
  </r>
  <r>
    <s v="20190927131415e"/>
    <x v="203"/>
    <s v="event"/>
    <x v="1"/>
    <n v="1"/>
    <x v="2"/>
    <s v="Windows XP (32-Bit)"/>
    <n v="0"/>
    <n v="1"/>
    <n v="0"/>
    <n v="0"/>
    <n v="0"/>
  </r>
  <r>
    <s v="20190928131415p"/>
    <x v="204"/>
    <s v="pageview"/>
    <x v="2"/>
    <n v="1"/>
    <x v="0"/>
    <s v="Windows 8 Professional"/>
    <n v="1"/>
    <n v="0"/>
    <n v="0"/>
    <n v="0"/>
    <n v="0"/>
  </r>
  <r>
    <s v="20190928131415p"/>
    <x v="204"/>
    <s v="pageview"/>
    <x v="2"/>
    <n v="1"/>
    <x v="0"/>
    <s v="Windows 8 Professional"/>
    <n v="1"/>
    <n v="0"/>
    <n v="0"/>
    <n v="0"/>
    <n v="0"/>
  </r>
  <r>
    <s v="20190928131415p"/>
    <x v="204"/>
    <s v="pageview"/>
    <x v="3"/>
    <n v="1"/>
    <x v="5"/>
    <s v="Windows 8 Professional"/>
    <n v="1"/>
    <n v="0"/>
    <n v="0"/>
    <n v="0"/>
    <n v="0"/>
  </r>
  <r>
    <s v="20190928131415p"/>
    <x v="204"/>
    <s v="pageview"/>
    <x v="3"/>
    <n v="1"/>
    <x v="1"/>
    <s v="Windows XP (32-Bit)"/>
    <n v="1"/>
    <n v="0"/>
    <n v="0"/>
    <n v="0"/>
    <n v="0"/>
  </r>
  <r>
    <s v="20190928131415p"/>
    <x v="204"/>
    <s v="pageview"/>
    <x v="0"/>
    <n v="1"/>
    <x v="1"/>
    <s v="Windows XP (32-Bit)"/>
    <n v="1"/>
    <n v="0"/>
    <n v="0"/>
    <n v="0"/>
    <n v="0"/>
  </r>
  <r>
    <s v="20190928131415o"/>
    <x v="204"/>
    <s v="open"/>
    <x v="1"/>
    <n v="1"/>
    <x v="1"/>
    <s v="Windows XP (32-Bit)"/>
    <n v="0"/>
    <n v="0"/>
    <n v="1"/>
    <n v="0"/>
    <n v="0"/>
  </r>
  <r>
    <s v="20190928131415o"/>
    <x v="204"/>
    <s v="open"/>
    <x v="3"/>
    <n v="1"/>
    <x v="2"/>
    <s v="Windows XP (32-Bit)"/>
    <n v="0"/>
    <n v="0"/>
    <n v="1"/>
    <n v="0"/>
    <n v="0"/>
  </r>
  <r>
    <s v="20190928131415p"/>
    <x v="204"/>
    <s v="pageview"/>
    <x v="1"/>
    <n v="1"/>
    <x v="3"/>
    <s v="Windows XP (32-Bit)"/>
    <n v="1"/>
    <n v="0"/>
    <n v="0"/>
    <n v="0"/>
    <n v="0"/>
  </r>
  <r>
    <s v="20190928131415p"/>
    <x v="204"/>
    <s v="pageview"/>
    <x v="2"/>
    <n v="1"/>
    <x v="3"/>
    <s v="Windows XP (32-Bit)"/>
    <n v="1"/>
    <n v="0"/>
    <n v="0"/>
    <n v="0"/>
    <n v="0"/>
  </r>
  <r>
    <s v="20190928131415p"/>
    <x v="204"/>
    <s v="pageview"/>
    <x v="3"/>
    <n v="1"/>
    <x v="4"/>
    <s v="Windows 8 Professional"/>
    <n v="1"/>
    <n v="0"/>
    <n v="0"/>
    <n v="0"/>
    <n v="0"/>
  </r>
  <r>
    <s v="20190928131415p"/>
    <x v="204"/>
    <s v="pageview"/>
    <x v="0"/>
    <n v="1"/>
    <x v="4"/>
    <s v="Windows 8 Professional"/>
    <n v="1"/>
    <n v="0"/>
    <n v="0"/>
    <n v="0"/>
    <n v="0"/>
  </r>
  <r>
    <s v="20190929131415p"/>
    <x v="205"/>
    <s v="pageview"/>
    <x v="2"/>
    <n v="1"/>
    <x v="5"/>
    <s v="Windows 8 Professional"/>
    <n v="1"/>
    <n v="0"/>
    <n v="0"/>
    <n v="0"/>
    <n v="0"/>
  </r>
  <r>
    <s v="20190929131415p"/>
    <x v="205"/>
    <s v="pageview"/>
    <x v="5"/>
    <n v="1"/>
    <x v="1"/>
    <s v="Windows XP (32-Bit)"/>
    <n v="1"/>
    <n v="0"/>
    <n v="0"/>
    <n v="0"/>
    <n v="0"/>
  </r>
  <r>
    <s v="20190929131415p"/>
    <x v="205"/>
    <s v="pageview"/>
    <x v="5"/>
    <n v="1"/>
    <x v="2"/>
    <s v="Windows XP (32-Bit)"/>
    <n v="1"/>
    <n v="0"/>
    <n v="0"/>
    <n v="0"/>
    <n v="0"/>
  </r>
  <r>
    <s v="20190929131415p"/>
    <x v="205"/>
    <s v="pageview"/>
    <x v="5"/>
    <n v="1"/>
    <x v="3"/>
    <s v="Windows XP (32-Bit)"/>
    <n v="1"/>
    <n v="0"/>
    <n v="0"/>
    <n v="0"/>
    <n v="0"/>
  </r>
  <r>
    <s v="20190929131415p"/>
    <x v="205"/>
    <s v="pageview"/>
    <x v="0"/>
    <n v="1"/>
    <x v="3"/>
    <s v="Windows XP (32-Bit)"/>
    <n v="1"/>
    <n v="0"/>
    <n v="0"/>
    <n v="0"/>
    <n v="0"/>
  </r>
  <r>
    <s v="20190929131415p"/>
    <x v="205"/>
    <s v="pageview"/>
    <x v="4"/>
    <n v="1"/>
    <x v="3"/>
    <s v="Windows XP (32-Bit)"/>
    <n v="1"/>
    <n v="0"/>
    <n v="0"/>
    <n v="0"/>
    <n v="0"/>
  </r>
  <r>
    <s v="20190929131415o"/>
    <x v="205"/>
    <s v="open"/>
    <x v="1"/>
    <n v="1"/>
    <x v="4"/>
    <s v="Windows 8 Professional"/>
    <n v="0"/>
    <n v="0"/>
    <n v="1"/>
    <n v="0"/>
    <n v="0"/>
  </r>
  <r>
    <s v="20190929131415p"/>
    <x v="205"/>
    <s v="pageview"/>
    <x v="2"/>
    <n v="1"/>
    <x v="4"/>
    <s v="Windows 8 Professional"/>
    <n v="1"/>
    <n v="0"/>
    <n v="0"/>
    <n v="0"/>
    <n v="0"/>
  </r>
  <r>
    <s v="20190930131415p"/>
    <x v="206"/>
    <s v="pageview"/>
    <x v="3"/>
    <n v="1"/>
    <x v="0"/>
    <s v="Windows 8 Professional"/>
    <n v="1"/>
    <n v="0"/>
    <n v="0"/>
    <n v="0"/>
    <n v="0"/>
  </r>
  <r>
    <s v="20190930131415p"/>
    <x v="206"/>
    <s v="pageview"/>
    <x v="2"/>
    <n v="1"/>
    <x v="0"/>
    <s v="Windows 8 Professional"/>
    <n v="1"/>
    <n v="0"/>
    <n v="0"/>
    <n v="0"/>
    <n v="0"/>
  </r>
  <r>
    <s v="20190930131415p"/>
    <x v="206"/>
    <s v="pageview"/>
    <x v="2"/>
    <n v="1"/>
    <x v="5"/>
    <s v="Windows 8 Professional"/>
    <n v="1"/>
    <n v="0"/>
    <n v="0"/>
    <n v="0"/>
    <n v="0"/>
  </r>
  <r>
    <s v="20190930131415o"/>
    <x v="206"/>
    <s v="open"/>
    <x v="0"/>
    <n v="1"/>
    <x v="5"/>
    <s v="Windows 8 Professional"/>
    <n v="0"/>
    <n v="0"/>
    <n v="1"/>
    <n v="0"/>
    <n v="0"/>
  </r>
  <r>
    <s v="20190930131415e"/>
    <x v="206"/>
    <s v="event"/>
    <x v="2"/>
    <n v="1"/>
    <x v="5"/>
    <s v="Windows 8 Professional"/>
    <n v="0"/>
    <n v="1"/>
    <n v="0"/>
    <n v="0"/>
    <n v="0"/>
  </r>
  <r>
    <s v="20190930131415p"/>
    <x v="206"/>
    <s v="pageview"/>
    <x v="5"/>
    <n v="1"/>
    <x v="2"/>
    <s v="Windows XP (32-Bit)"/>
    <n v="1"/>
    <n v="0"/>
    <n v="0"/>
    <n v="0"/>
    <n v="0"/>
  </r>
  <r>
    <s v="20190930131415e"/>
    <x v="206"/>
    <s v="event"/>
    <x v="4"/>
    <n v="1"/>
    <x v="3"/>
    <s v="Windows XP (32-Bit)"/>
    <n v="0"/>
    <n v="1"/>
    <n v="0"/>
    <n v="0"/>
    <n v="0"/>
  </r>
  <r>
    <s v="20190930131415p"/>
    <x v="206"/>
    <s v="pageview"/>
    <x v="3"/>
    <n v="1"/>
    <x v="3"/>
    <s v="Windows XP (32-Bit)"/>
    <n v="1"/>
    <n v="0"/>
    <n v="0"/>
    <n v="0"/>
    <n v="0"/>
  </r>
  <r>
    <s v="20190930131415p"/>
    <x v="206"/>
    <s v="pageview"/>
    <x v="4"/>
    <n v="1"/>
    <x v="3"/>
    <s v="Windows XP (32-Bit)"/>
    <n v="1"/>
    <n v="0"/>
    <n v="0"/>
    <n v="0"/>
    <n v="0"/>
  </r>
  <r>
    <s v="20190930131415s"/>
    <x v="206"/>
    <s v="save"/>
    <x v="5"/>
    <n v="1"/>
    <x v="4"/>
    <s v="Windows 8 Professional"/>
    <n v="0"/>
    <n v="0"/>
    <n v="0"/>
    <n v="1"/>
    <n v="0"/>
  </r>
  <r>
    <s v="20190930131415p"/>
    <x v="206"/>
    <s v="pageview"/>
    <x v="1"/>
    <n v="1"/>
    <x v="4"/>
    <s v="Windows 8 Professional"/>
    <n v="1"/>
    <n v="0"/>
    <n v="0"/>
    <n v="0"/>
    <n v="0"/>
  </r>
  <r>
    <s v="20190930131415s"/>
    <x v="206"/>
    <s v="save"/>
    <x v="2"/>
    <n v="1"/>
    <x v="4"/>
    <s v="Windows 8 Professional"/>
    <n v="0"/>
    <n v="0"/>
    <n v="0"/>
    <n v="1"/>
    <n v="0"/>
  </r>
  <r>
    <s v="20191001131415p"/>
    <x v="207"/>
    <s v="pageview"/>
    <x v="0"/>
    <n v="1"/>
    <x v="0"/>
    <s v="Windows 8 Professional"/>
    <n v="1"/>
    <n v="0"/>
    <n v="0"/>
    <n v="0"/>
    <n v="0"/>
  </r>
  <r>
    <s v="20191001131415p"/>
    <x v="207"/>
    <s v="pageview"/>
    <x v="2"/>
    <n v="1"/>
    <x v="0"/>
    <s v="Windows 8 Professional"/>
    <n v="1"/>
    <n v="0"/>
    <n v="0"/>
    <n v="0"/>
    <n v="0"/>
  </r>
  <r>
    <s v="20191001131415p"/>
    <x v="207"/>
    <s v="pageview"/>
    <x v="1"/>
    <n v="1"/>
    <x v="0"/>
    <s v="Windows 8 Professional"/>
    <n v="1"/>
    <n v="0"/>
    <n v="0"/>
    <n v="0"/>
    <n v="0"/>
  </r>
  <r>
    <s v="20191001131415p"/>
    <x v="207"/>
    <s v="pageview"/>
    <x v="0"/>
    <n v="1"/>
    <x v="5"/>
    <s v="Windows 8 Professional"/>
    <n v="1"/>
    <n v="0"/>
    <n v="0"/>
    <n v="0"/>
    <n v="0"/>
  </r>
  <r>
    <s v="20191001131415p"/>
    <x v="207"/>
    <s v="pageview"/>
    <x v="2"/>
    <n v="1"/>
    <x v="5"/>
    <s v="Windows 8 Professional"/>
    <n v="1"/>
    <n v="0"/>
    <n v="0"/>
    <n v="0"/>
    <n v="0"/>
  </r>
  <r>
    <s v="20191001131415e"/>
    <x v="207"/>
    <s v="event"/>
    <x v="2"/>
    <n v="1"/>
    <x v="1"/>
    <s v="Windows XP (32-Bit)"/>
    <n v="0"/>
    <n v="1"/>
    <n v="0"/>
    <n v="0"/>
    <n v="0"/>
  </r>
  <r>
    <s v="20191001131415p"/>
    <x v="207"/>
    <s v="pageview"/>
    <x v="4"/>
    <n v="1"/>
    <x v="2"/>
    <s v="Windows XP (32-Bit)"/>
    <n v="1"/>
    <n v="0"/>
    <n v="0"/>
    <n v="0"/>
    <n v="0"/>
  </r>
  <r>
    <s v="20191001131415p"/>
    <x v="207"/>
    <s v="pageview"/>
    <x v="0"/>
    <n v="1"/>
    <x v="2"/>
    <s v="Windows XP (32-Bit)"/>
    <n v="1"/>
    <n v="0"/>
    <n v="0"/>
    <n v="0"/>
    <n v="0"/>
  </r>
  <r>
    <s v="20191001131415o"/>
    <x v="207"/>
    <s v="open"/>
    <x v="2"/>
    <n v="1"/>
    <x v="2"/>
    <s v="Windows XP (32-Bit)"/>
    <n v="0"/>
    <n v="0"/>
    <n v="1"/>
    <n v="0"/>
    <n v="0"/>
  </r>
  <r>
    <s v="20191001131415p"/>
    <x v="207"/>
    <s v="pageview"/>
    <x v="5"/>
    <n v="1"/>
    <x v="3"/>
    <s v="Windows XP (32-Bit)"/>
    <n v="1"/>
    <n v="0"/>
    <n v="0"/>
    <n v="0"/>
    <n v="0"/>
  </r>
  <r>
    <s v="20191001131415p"/>
    <x v="207"/>
    <s v="pageview"/>
    <x v="3"/>
    <n v="1"/>
    <x v="4"/>
    <s v="Windows 8 Professional"/>
    <n v="1"/>
    <n v="0"/>
    <n v="0"/>
    <n v="0"/>
    <n v="0"/>
  </r>
  <r>
    <s v="20191001131415o"/>
    <x v="207"/>
    <s v="open"/>
    <x v="4"/>
    <n v="1"/>
    <x v="4"/>
    <s v="Windows 8 Professional"/>
    <n v="0"/>
    <n v="0"/>
    <n v="1"/>
    <n v="0"/>
    <n v="0"/>
  </r>
  <r>
    <s v="20191002131415p"/>
    <x v="208"/>
    <s v="pageview"/>
    <x v="3"/>
    <n v="1"/>
    <x v="0"/>
    <s v="Windows 8 Professional"/>
    <n v="1"/>
    <n v="0"/>
    <n v="0"/>
    <n v="0"/>
    <n v="0"/>
  </r>
  <r>
    <s v="20191002131415p"/>
    <x v="208"/>
    <s v="pageview"/>
    <x v="1"/>
    <n v="1"/>
    <x v="0"/>
    <s v="Windows 8 Professional"/>
    <n v="1"/>
    <n v="0"/>
    <n v="0"/>
    <n v="0"/>
    <n v="0"/>
  </r>
  <r>
    <s v="20191002131415e"/>
    <x v="208"/>
    <s v="event"/>
    <x v="2"/>
    <n v="1"/>
    <x v="5"/>
    <s v="Windows 8 Professional"/>
    <n v="0"/>
    <n v="1"/>
    <n v="0"/>
    <n v="0"/>
    <n v="0"/>
  </r>
  <r>
    <s v="20191002131415p"/>
    <x v="208"/>
    <s v="pageview"/>
    <x v="4"/>
    <n v="1"/>
    <x v="5"/>
    <s v="Windows 8 Professional"/>
    <n v="1"/>
    <n v="0"/>
    <n v="0"/>
    <n v="0"/>
    <n v="0"/>
  </r>
  <r>
    <s v="20191002131415p"/>
    <x v="208"/>
    <s v="pageview"/>
    <x v="2"/>
    <n v="1"/>
    <x v="5"/>
    <s v="Windows 8 Professional"/>
    <n v="1"/>
    <n v="0"/>
    <n v="0"/>
    <n v="0"/>
    <n v="0"/>
  </r>
  <r>
    <s v="20191002131415p"/>
    <x v="208"/>
    <s v="pageview"/>
    <x v="4"/>
    <n v="1"/>
    <x v="5"/>
    <s v="Windows 8 Professional"/>
    <n v="1"/>
    <n v="0"/>
    <n v="0"/>
    <n v="0"/>
    <n v="0"/>
  </r>
  <r>
    <s v="20191002131415o"/>
    <x v="208"/>
    <s v="open"/>
    <x v="1"/>
    <n v="1"/>
    <x v="1"/>
    <s v="Windows XP (32-Bit)"/>
    <n v="0"/>
    <n v="0"/>
    <n v="1"/>
    <n v="0"/>
    <n v="0"/>
  </r>
  <r>
    <s v="20191002131415p"/>
    <x v="208"/>
    <s v="pageview"/>
    <x v="0"/>
    <n v="1"/>
    <x v="1"/>
    <s v="Windows XP (32-Bit)"/>
    <n v="1"/>
    <n v="0"/>
    <n v="0"/>
    <n v="0"/>
    <n v="0"/>
  </r>
  <r>
    <s v="20191002131415p"/>
    <x v="208"/>
    <s v="pageview"/>
    <x v="5"/>
    <n v="1"/>
    <x v="2"/>
    <s v="Windows XP (32-Bit)"/>
    <n v="1"/>
    <n v="0"/>
    <n v="0"/>
    <n v="0"/>
    <n v="0"/>
  </r>
  <r>
    <s v="20191002131415e"/>
    <x v="208"/>
    <s v="event"/>
    <x v="5"/>
    <n v="1"/>
    <x v="3"/>
    <s v="Windows XP (32-Bit)"/>
    <n v="0"/>
    <n v="1"/>
    <n v="0"/>
    <n v="0"/>
    <n v="0"/>
  </r>
  <r>
    <s v="20191002131415p"/>
    <x v="208"/>
    <s v="pageview"/>
    <x v="4"/>
    <n v="1"/>
    <x v="4"/>
    <s v="Windows 8 Professional"/>
    <n v="1"/>
    <n v="0"/>
    <n v="0"/>
    <n v="0"/>
    <n v="0"/>
  </r>
  <r>
    <s v="20191002131415p"/>
    <x v="208"/>
    <s v="pageview"/>
    <x v="4"/>
    <n v="1"/>
    <x v="4"/>
    <s v="Windows 8 Professional"/>
    <n v="1"/>
    <n v="0"/>
    <n v="0"/>
    <n v="0"/>
    <n v="0"/>
  </r>
  <r>
    <s v="20191003131415p"/>
    <x v="209"/>
    <s v="pageview"/>
    <x v="3"/>
    <n v="1"/>
    <x v="0"/>
    <s v="Windows 8 Professional"/>
    <n v="1"/>
    <n v="0"/>
    <n v="0"/>
    <n v="0"/>
    <n v="0"/>
  </r>
  <r>
    <s v="20191003131415p"/>
    <x v="209"/>
    <s v="pageview"/>
    <x v="5"/>
    <n v="1"/>
    <x v="0"/>
    <s v="Windows 8 Professional"/>
    <n v="1"/>
    <n v="0"/>
    <n v="0"/>
    <n v="0"/>
    <n v="0"/>
  </r>
  <r>
    <s v="20191003131415p"/>
    <x v="209"/>
    <s v="pageview"/>
    <x v="4"/>
    <n v="1"/>
    <x v="0"/>
    <s v="Windows 8 Professional"/>
    <n v="1"/>
    <n v="0"/>
    <n v="0"/>
    <n v="0"/>
    <n v="0"/>
  </r>
  <r>
    <s v="20191003131415p"/>
    <x v="209"/>
    <s v="pageview"/>
    <x v="2"/>
    <n v="1"/>
    <x v="5"/>
    <s v="Windows 8 Professional"/>
    <n v="1"/>
    <n v="0"/>
    <n v="0"/>
    <n v="0"/>
    <n v="0"/>
  </r>
  <r>
    <s v="20191003131415p"/>
    <x v="209"/>
    <s v="pageview"/>
    <x v="0"/>
    <n v="1"/>
    <x v="5"/>
    <s v="Windows 8 Professional"/>
    <n v="1"/>
    <n v="0"/>
    <n v="0"/>
    <n v="0"/>
    <n v="0"/>
  </r>
  <r>
    <s v="20191003131415o"/>
    <x v="209"/>
    <s v="open"/>
    <x v="1"/>
    <n v="1"/>
    <x v="2"/>
    <s v="Windows XP (32-Bit)"/>
    <n v="0"/>
    <n v="0"/>
    <n v="1"/>
    <n v="0"/>
    <n v="0"/>
  </r>
  <r>
    <s v="20191003131415p"/>
    <x v="209"/>
    <s v="pageview"/>
    <x v="5"/>
    <n v="1"/>
    <x v="2"/>
    <s v="Windows XP (32-Bit)"/>
    <n v="1"/>
    <n v="0"/>
    <n v="0"/>
    <n v="0"/>
    <n v="0"/>
  </r>
  <r>
    <s v="20191003131415p"/>
    <x v="209"/>
    <s v="pageview"/>
    <x v="2"/>
    <n v="1"/>
    <x v="3"/>
    <s v="Windows XP (32-Bit)"/>
    <n v="1"/>
    <n v="0"/>
    <n v="0"/>
    <n v="0"/>
    <n v="0"/>
  </r>
  <r>
    <s v="20191003131415p"/>
    <x v="209"/>
    <s v="pageview"/>
    <x v="1"/>
    <n v="1"/>
    <x v="3"/>
    <s v="Windows XP (32-Bit)"/>
    <n v="1"/>
    <n v="0"/>
    <n v="0"/>
    <n v="0"/>
    <n v="0"/>
  </r>
  <r>
    <s v="20191003131415p"/>
    <x v="209"/>
    <s v="pageview"/>
    <x v="3"/>
    <n v="1"/>
    <x v="4"/>
    <s v="Windows 8 Professional"/>
    <n v="1"/>
    <n v="0"/>
    <n v="0"/>
    <n v="0"/>
    <n v="0"/>
  </r>
  <r>
    <s v="20191004131415s"/>
    <x v="210"/>
    <s v="save"/>
    <x v="0"/>
    <n v="1"/>
    <x v="5"/>
    <s v="Windows 8 Professional"/>
    <n v="0"/>
    <n v="0"/>
    <n v="0"/>
    <n v="1"/>
    <n v="0"/>
  </r>
  <r>
    <s v="20191004131415p"/>
    <x v="210"/>
    <s v="pageview"/>
    <x v="1"/>
    <n v="1"/>
    <x v="5"/>
    <s v="Windows 8 Professional"/>
    <n v="1"/>
    <n v="0"/>
    <n v="0"/>
    <n v="0"/>
    <n v="0"/>
  </r>
  <r>
    <s v="20191004131415s"/>
    <x v="210"/>
    <s v="save"/>
    <x v="5"/>
    <n v="1"/>
    <x v="1"/>
    <s v="Windows XP (32-Bit)"/>
    <n v="0"/>
    <n v="0"/>
    <n v="0"/>
    <n v="1"/>
    <n v="0"/>
  </r>
  <r>
    <s v="20191004131415p"/>
    <x v="210"/>
    <s v="pageview"/>
    <x v="5"/>
    <n v="1"/>
    <x v="2"/>
    <s v="Windows XP (32-Bit)"/>
    <n v="1"/>
    <n v="0"/>
    <n v="0"/>
    <n v="0"/>
    <n v="0"/>
  </r>
  <r>
    <s v="20191004131415p"/>
    <x v="210"/>
    <s v="pageview"/>
    <x v="0"/>
    <n v="1"/>
    <x v="3"/>
    <s v="Windows XP (32-Bit)"/>
    <n v="1"/>
    <n v="0"/>
    <n v="0"/>
    <n v="0"/>
    <n v="0"/>
  </r>
  <r>
    <s v="20191004131415p"/>
    <x v="210"/>
    <s v="pageview"/>
    <x v="2"/>
    <n v="1"/>
    <x v="4"/>
    <s v="Windows 8 Professional"/>
    <n v="1"/>
    <n v="0"/>
    <n v="0"/>
    <n v="0"/>
    <n v="0"/>
  </r>
  <r>
    <s v="20191005131415e"/>
    <x v="211"/>
    <s v="event"/>
    <x v="5"/>
    <n v="1"/>
    <x v="0"/>
    <s v="Windows 8 Professional"/>
    <n v="0"/>
    <n v="1"/>
    <n v="0"/>
    <n v="0"/>
    <n v="0"/>
  </r>
  <r>
    <s v="20191005131415p"/>
    <x v="211"/>
    <s v="pageview"/>
    <x v="5"/>
    <n v="1"/>
    <x v="5"/>
    <s v="Windows 8 Professional"/>
    <n v="1"/>
    <n v="0"/>
    <n v="0"/>
    <n v="0"/>
    <n v="0"/>
  </r>
  <r>
    <s v="20191005131415p"/>
    <x v="211"/>
    <s v="pageview"/>
    <x v="4"/>
    <n v="1"/>
    <x v="1"/>
    <s v="Windows XP (32-Bit)"/>
    <n v="1"/>
    <n v="0"/>
    <n v="0"/>
    <n v="0"/>
    <n v="0"/>
  </r>
  <r>
    <s v="20191005131415p"/>
    <x v="211"/>
    <s v="pageview"/>
    <x v="2"/>
    <n v="1"/>
    <x v="2"/>
    <s v="Windows XP (32-Bit)"/>
    <n v="1"/>
    <n v="0"/>
    <n v="0"/>
    <n v="0"/>
    <n v="0"/>
  </r>
  <r>
    <s v="20191005131415e"/>
    <x v="211"/>
    <s v="event"/>
    <x v="3"/>
    <n v="1"/>
    <x v="2"/>
    <s v="Windows XP (32-Bit)"/>
    <n v="0"/>
    <n v="1"/>
    <n v="0"/>
    <n v="0"/>
    <n v="0"/>
  </r>
  <r>
    <s v="20191005131415e"/>
    <x v="211"/>
    <s v="event"/>
    <x v="1"/>
    <n v="1"/>
    <x v="2"/>
    <s v="Windows XP (32-Bit)"/>
    <n v="0"/>
    <n v="1"/>
    <n v="0"/>
    <n v="0"/>
    <n v="0"/>
  </r>
  <r>
    <s v="20191005131415p"/>
    <x v="211"/>
    <s v="pageview"/>
    <x v="0"/>
    <n v="1"/>
    <x v="2"/>
    <s v="Windows XP (32-Bit)"/>
    <n v="1"/>
    <n v="0"/>
    <n v="0"/>
    <n v="0"/>
    <n v="0"/>
  </r>
  <r>
    <s v="20191005131415s"/>
    <x v="211"/>
    <s v="save"/>
    <x v="2"/>
    <n v="1"/>
    <x v="3"/>
    <s v="Windows XP (32-Bit)"/>
    <n v="0"/>
    <n v="0"/>
    <n v="0"/>
    <n v="1"/>
    <n v="0"/>
  </r>
  <r>
    <s v="20191005131415s"/>
    <x v="211"/>
    <s v="save"/>
    <x v="5"/>
    <n v="1"/>
    <x v="3"/>
    <s v="Windows XP (32-Bit)"/>
    <n v="0"/>
    <n v="0"/>
    <n v="0"/>
    <n v="1"/>
    <n v="0"/>
  </r>
  <r>
    <s v="20191005131415p"/>
    <x v="211"/>
    <s v="pageview"/>
    <x v="4"/>
    <n v="1"/>
    <x v="3"/>
    <s v="Windows XP (32-Bit)"/>
    <n v="1"/>
    <n v="0"/>
    <n v="0"/>
    <n v="0"/>
    <n v="0"/>
  </r>
  <r>
    <s v="20191005131415p"/>
    <x v="211"/>
    <s v="pageview"/>
    <x v="3"/>
    <n v="1"/>
    <x v="4"/>
    <s v="Windows 8 Professional"/>
    <n v="1"/>
    <n v="0"/>
    <n v="0"/>
    <n v="0"/>
    <n v="0"/>
  </r>
  <r>
    <s v="20191006131415s"/>
    <x v="212"/>
    <s v="save"/>
    <x v="4"/>
    <n v="1"/>
    <x v="5"/>
    <s v="Windows 8 Professional"/>
    <n v="0"/>
    <n v="0"/>
    <n v="0"/>
    <n v="1"/>
    <n v="0"/>
  </r>
  <r>
    <s v="20191006131415p"/>
    <x v="212"/>
    <s v="pageview"/>
    <x v="4"/>
    <n v="1"/>
    <x v="5"/>
    <s v="Windows 8 Professional"/>
    <n v="1"/>
    <n v="0"/>
    <n v="0"/>
    <n v="0"/>
    <n v="0"/>
  </r>
  <r>
    <s v="20191006131415e"/>
    <x v="212"/>
    <s v="event"/>
    <x v="4"/>
    <n v="1"/>
    <x v="5"/>
    <s v="Windows 8 Professional"/>
    <n v="0"/>
    <n v="1"/>
    <n v="0"/>
    <n v="0"/>
    <n v="0"/>
  </r>
  <r>
    <s v="20191006131415p"/>
    <x v="212"/>
    <s v="pageview"/>
    <x v="2"/>
    <n v="1"/>
    <x v="2"/>
    <s v="Windows XP (32-Bit)"/>
    <n v="1"/>
    <n v="0"/>
    <n v="0"/>
    <n v="0"/>
    <n v="0"/>
  </r>
  <r>
    <s v="20191007131415p"/>
    <x v="213"/>
    <s v="pageview"/>
    <x v="4"/>
    <n v="1"/>
    <x v="0"/>
    <s v="Windows 8 Professional"/>
    <n v="1"/>
    <n v="0"/>
    <n v="0"/>
    <n v="0"/>
    <n v="0"/>
  </r>
  <r>
    <s v="20191007131415o"/>
    <x v="213"/>
    <s v="open"/>
    <x v="0"/>
    <n v="1"/>
    <x v="0"/>
    <s v="Windows 8 Professional"/>
    <n v="0"/>
    <n v="0"/>
    <n v="1"/>
    <n v="0"/>
    <n v="0"/>
  </r>
  <r>
    <s v="20191007131415p"/>
    <x v="213"/>
    <s v="pageview"/>
    <x v="0"/>
    <n v="1"/>
    <x v="5"/>
    <s v="Windows 8 Professional"/>
    <n v="1"/>
    <n v="0"/>
    <n v="0"/>
    <n v="0"/>
    <n v="0"/>
  </r>
  <r>
    <s v="20191007131415p"/>
    <x v="213"/>
    <s v="pageview"/>
    <x v="2"/>
    <n v="1"/>
    <x v="1"/>
    <s v="Windows XP (32-Bit)"/>
    <n v="1"/>
    <n v="0"/>
    <n v="0"/>
    <n v="0"/>
    <n v="0"/>
  </r>
  <r>
    <s v="20191007131415o"/>
    <x v="213"/>
    <s v="open"/>
    <x v="5"/>
    <n v="1"/>
    <x v="2"/>
    <s v="Windows XP (32-Bit)"/>
    <n v="0"/>
    <n v="0"/>
    <n v="1"/>
    <n v="0"/>
    <n v="0"/>
  </r>
  <r>
    <s v="20191007131415p"/>
    <x v="213"/>
    <s v="pageview"/>
    <x v="2"/>
    <n v="1"/>
    <x v="2"/>
    <s v="Windows XP (32-Bit)"/>
    <n v="1"/>
    <n v="0"/>
    <n v="0"/>
    <n v="0"/>
    <n v="0"/>
  </r>
  <r>
    <s v="20191007131415p"/>
    <x v="213"/>
    <s v="pageview"/>
    <x v="4"/>
    <n v="1"/>
    <x v="2"/>
    <s v="Windows XP (32-Bit)"/>
    <n v="1"/>
    <n v="0"/>
    <n v="0"/>
    <n v="0"/>
    <n v="0"/>
  </r>
  <r>
    <s v="20191007131415p"/>
    <x v="213"/>
    <s v="pageview"/>
    <x v="3"/>
    <n v="1"/>
    <x v="4"/>
    <s v="Windows 8 Professional"/>
    <n v="1"/>
    <n v="0"/>
    <n v="0"/>
    <n v="0"/>
    <n v="0"/>
  </r>
  <r>
    <s v="20191007131415e"/>
    <x v="213"/>
    <s v="event"/>
    <x v="1"/>
    <n v="1"/>
    <x v="4"/>
    <s v="Windows 8 Professional"/>
    <n v="0"/>
    <n v="1"/>
    <n v="0"/>
    <n v="0"/>
    <n v="0"/>
  </r>
  <r>
    <s v="20191007131415e"/>
    <x v="213"/>
    <s v="event"/>
    <x v="1"/>
    <n v="1"/>
    <x v="4"/>
    <s v="Windows 8 Professional"/>
    <n v="0"/>
    <n v="1"/>
    <n v="0"/>
    <n v="0"/>
    <n v="0"/>
  </r>
  <r>
    <s v="20191008131415p"/>
    <x v="214"/>
    <s v="pageview"/>
    <x v="2"/>
    <n v="1"/>
    <x v="5"/>
    <s v="Windows 8 Professional"/>
    <n v="1"/>
    <n v="0"/>
    <n v="0"/>
    <n v="0"/>
    <n v="0"/>
  </r>
  <r>
    <s v="20191008131415s"/>
    <x v="214"/>
    <s v="save"/>
    <x v="1"/>
    <n v="1"/>
    <x v="5"/>
    <s v="Windows 8 Professional"/>
    <n v="0"/>
    <n v="0"/>
    <n v="0"/>
    <n v="1"/>
    <n v="0"/>
  </r>
  <r>
    <s v="20191008131415p"/>
    <x v="214"/>
    <s v="pageview"/>
    <x v="3"/>
    <n v="1"/>
    <x v="5"/>
    <s v="Windows 8 Professional"/>
    <n v="1"/>
    <n v="0"/>
    <n v="0"/>
    <n v="0"/>
    <n v="0"/>
  </r>
  <r>
    <s v="20191008131415p"/>
    <x v="214"/>
    <s v="pageview"/>
    <x v="1"/>
    <n v="1"/>
    <x v="5"/>
    <s v="Windows 8 Professional"/>
    <n v="1"/>
    <n v="0"/>
    <n v="0"/>
    <n v="0"/>
    <n v="0"/>
  </r>
  <r>
    <s v="20191008131415p"/>
    <x v="214"/>
    <s v="pageview"/>
    <x v="1"/>
    <n v="1"/>
    <x v="1"/>
    <s v="Windows XP (32-Bit)"/>
    <n v="1"/>
    <n v="0"/>
    <n v="0"/>
    <n v="0"/>
    <n v="0"/>
  </r>
  <r>
    <s v="20191008131415p"/>
    <x v="214"/>
    <s v="pageview"/>
    <x v="3"/>
    <n v="1"/>
    <x v="1"/>
    <s v="Windows XP (32-Bit)"/>
    <n v="1"/>
    <n v="0"/>
    <n v="0"/>
    <n v="0"/>
    <n v="0"/>
  </r>
  <r>
    <s v="20191008131415p"/>
    <x v="214"/>
    <s v="pageview"/>
    <x v="4"/>
    <n v="1"/>
    <x v="2"/>
    <s v="Windows XP (32-Bit)"/>
    <n v="1"/>
    <n v="0"/>
    <n v="0"/>
    <n v="0"/>
    <n v="0"/>
  </r>
  <r>
    <s v="20191008131415p"/>
    <x v="214"/>
    <s v="pageview"/>
    <x v="2"/>
    <n v="1"/>
    <x v="3"/>
    <s v="Windows XP (32-Bit)"/>
    <n v="1"/>
    <n v="0"/>
    <n v="0"/>
    <n v="0"/>
    <n v="0"/>
  </r>
  <r>
    <s v="20191008131415e"/>
    <x v="214"/>
    <s v="event"/>
    <x v="5"/>
    <n v="1"/>
    <x v="3"/>
    <s v="Windows XP (32-Bit)"/>
    <n v="0"/>
    <n v="1"/>
    <n v="0"/>
    <n v="0"/>
    <n v="0"/>
  </r>
  <r>
    <s v="20191008131415s"/>
    <x v="214"/>
    <s v="save"/>
    <x v="4"/>
    <n v="1"/>
    <x v="3"/>
    <s v="Windows XP (32-Bit)"/>
    <n v="0"/>
    <n v="0"/>
    <n v="0"/>
    <n v="1"/>
    <n v="0"/>
  </r>
  <r>
    <s v="20191008131415p"/>
    <x v="214"/>
    <s v="pageview"/>
    <x v="2"/>
    <n v="1"/>
    <x v="4"/>
    <s v="Windows 8 Professional"/>
    <n v="1"/>
    <n v="0"/>
    <n v="0"/>
    <n v="0"/>
    <n v="0"/>
  </r>
  <r>
    <s v="20191008131415p"/>
    <x v="214"/>
    <s v="pageview"/>
    <x v="3"/>
    <n v="1"/>
    <x v="4"/>
    <s v="Windows 8 Professional"/>
    <n v="1"/>
    <n v="0"/>
    <n v="0"/>
    <n v="0"/>
    <n v="0"/>
  </r>
  <r>
    <s v="20191009131415e"/>
    <x v="215"/>
    <s v="event"/>
    <x v="2"/>
    <n v="1"/>
    <x v="0"/>
    <s v="Windows 8 Professional"/>
    <n v="0"/>
    <n v="1"/>
    <n v="0"/>
    <n v="0"/>
    <n v="0"/>
  </r>
  <r>
    <s v="20191009131415p"/>
    <x v="215"/>
    <s v="pageview"/>
    <x v="0"/>
    <n v="1"/>
    <x v="0"/>
    <s v="Windows 8 Professional"/>
    <n v="1"/>
    <n v="0"/>
    <n v="0"/>
    <n v="0"/>
    <n v="0"/>
  </r>
  <r>
    <s v="20191009131415p"/>
    <x v="215"/>
    <s v="pageview"/>
    <x v="0"/>
    <n v="1"/>
    <x v="5"/>
    <s v="Windows 8 Professional"/>
    <n v="1"/>
    <n v="0"/>
    <n v="0"/>
    <n v="0"/>
    <n v="0"/>
  </r>
  <r>
    <s v="20191009131415e"/>
    <x v="215"/>
    <s v="event"/>
    <x v="1"/>
    <n v="1"/>
    <x v="5"/>
    <s v="Windows 8 Professional"/>
    <n v="0"/>
    <n v="1"/>
    <n v="0"/>
    <n v="0"/>
    <n v="0"/>
  </r>
  <r>
    <s v="20191009131415o"/>
    <x v="215"/>
    <s v="open"/>
    <x v="2"/>
    <n v="1"/>
    <x v="5"/>
    <s v="Windows 8 Professional"/>
    <n v="0"/>
    <n v="0"/>
    <n v="1"/>
    <n v="0"/>
    <n v="0"/>
  </r>
  <r>
    <s v="20191009131415p"/>
    <x v="215"/>
    <s v="pageview"/>
    <x v="1"/>
    <n v="1"/>
    <x v="5"/>
    <s v="Windows 8 Professional"/>
    <n v="1"/>
    <n v="0"/>
    <n v="0"/>
    <n v="0"/>
    <n v="0"/>
  </r>
  <r>
    <s v="20191009131415p"/>
    <x v="215"/>
    <s v="pageview"/>
    <x v="5"/>
    <n v="1"/>
    <x v="5"/>
    <s v="Windows 8 Professional"/>
    <n v="1"/>
    <n v="0"/>
    <n v="0"/>
    <n v="0"/>
    <n v="0"/>
  </r>
  <r>
    <s v="20191009131415p"/>
    <x v="215"/>
    <s v="pageview"/>
    <x v="5"/>
    <n v="1"/>
    <x v="5"/>
    <s v="Windows 8 Professional"/>
    <n v="1"/>
    <n v="0"/>
    <n v="0"/>
    <n v="0"/>
    <n v="0"/>
  </r>
  <r>
    <s v="20191009131415p"/>
    <x v="215"/>
    <s v="pageview"/>
    <x v="4"/>
    <n v="1"/>
    <x v="1"/>
    <s v="Windows XP (32-Bit)"/>
    <n v="1"/>
    <n v="0"/>
    <n v="0"/>
    <n v="0"/>
    <n v="0"/>
  </r>
  <r>
    <s v="20191009131415p"/>
    <x v="215"/>
    <s v="pageview"/>
    <x v="2"/>
    <n v="1"/>
    <x v="2"/>
    <s v="Windows XP (32-Bit)"/>
    <n v="1"/>
    <n v="0"/>
    <n v="0"/>
    <n v="0"/>
    <n v="0"/>
  </r>
  <r>
    <s v="20191009131415e"/>
    <x v="215"/>
    <s v="event"/>
    <x v="2"/>
    <n v="1"/>
    <x v="2"/>
    <s v="Windows XP (32-Bit)"/>
    <n v="0"/>
    <n v="1"/>
    <n v="0"/>
    <n v="0"/>
    <n v="0"/>
  </r>
  <r>
    <s v="20191009131415p"/>
    <x v="215"/>
    <s v="pageview"/>
    <x v="5"/>
    <n v="1"/>
    <x v="3"/>
    <s v="Windows XP (32-Bit)"/>
    <n v="1"/>
    <n v="0"/>
    <n v="0"/>
    <n v="0"/>
    <n v="0"/>
  </r>
  <r>
    <s v="20191010131415e"/>
    <x v="216"/>
    <s v="event"/>
    <x v="2"/>
    <n v="1"/>
    <x v="5"/>
    <s v="Windows 8 Professional"/>
    <n v="0"/>
    <n v="1"/>
    <n v="0"/>
    <n v="0"/>
    <n v="0"/>
  </r>
  <r>
    <s v="20191010131415p"/>
    <x v="216"/>
    <s v="pageview"/>
    <x v="4"/>
    <n v="1"/>
    <x v="5"/>
    <s v="Windows 8 Professional"/>
    <n v="1"/>
    <n v="0"/>
    <n v="0"/>
    <n v="0"/>
    <n v="0"/>
  </r>
  <r>
    <s v="20191010131415p"/>
    <x v="216"/>
    <s v="pageview"/>
    <x v="5"/>
    <n v="1"/>
    <x v="5"/>
    <s v="Windows 8 Professional"/>
    <n v="1"/>
    <n v="0"/>
    <n v="0"/>
    <n v="0"/>
    <n v="0"/>
  </r>
  <r>
    <s v="20191010131415p"/>
    <x v="216"/>
    <s v="pageview"/>
    <x v="1"/>
    <n v="1"/>
    <x v="5"/>
    <s v="Windows 8 Professional"/>
    <n v="1"/>
    <n v="0"/>
    <n v="0"/>
    <n v="0"/>
    <n v="0"/>
  </r>
  <r>
    <s v="20191010131415p"/>
    <x v="216"/>
    <s v="pageview"/>
    <x v="3"/>
    <n v="1"/>
    <x v="1"/>
    <s v="Windows XP (32-Bit)"/>
    <n v="1"/>
    <n v="0"/>
    <n v="0"/>
    <n v="0"/>
    <n v="0"/>
  </r>
  <r>
    <s v="20191010131415p"/>
    <x v="216"/>
    <s v="pageview"/>
    <x v="2"/>
    <n v="1"/>
    <x v="1"/>
    <s v="Windows XP (32-Bit)"/>
    <n v="1"/>
    <n v="0"/>
    <n v="0"/>
    <n v="0"/>
    <n v="0"/>
  </r>
  <r>
    <s v="20191010131415p"/>
    <x v="216"/>
    <s v="pageview"/>
    <x v="1"/>
    <n v="1"/>
    <x v="1"/>
    <s v="Windows XP (32-Bit)"/>
    <n v="1"/>
    <n v="0"/>
    <n v="0"/>
    <n v="0"/>
    <n v="0"/>
  </r>
  <r>
    <s v="20191010131415p"/>
    <x v="216"/>
    <s v="pageview"/>
    <x v="2"/>
    <n v="1"/>
    <x v="2"/>
    <s v="Windows XP (32-Bit)"/>
    <n v="1"/>
    <n v="0"/>
    <n v="0"/>
    <n v="0"/>
    <n v="0"/>
  </r>
  <r>
    <s v="20191010131415p"/>
    <x v="216"/>
    <s v="pageview"/>
    <x v="0"/>
    <n v="1"/>
    <x v="2"/>
    <s v="Windows XP (32-Bit)"/>
    <n v="1"/>
    <n v="0"/>
    <n v="0"/>
    <n v="0"/>
    <n v="0"/>
  </r>
  <r>
    <s v="20191010131415p"/>
    <x v="216"/>
    <s v="pageview"/>
    <x v="5"/>
    <n v="1"/>
    <x v="3"/>
    <s v="Windows XP (32-Bit)"/>
    <n v="1"/>
    <n v="0"/>
    <n v="0"/>
    <n v="0"/>
    <n v="0"/>
  </r>
  <r>
    <s v="20191010131415s"/>
    <x v="216"/>
    <s v="save"/>
    <x v="3"/>
    <n v="1"/>
    <x v="3"/>
    <s v="Windows XP (32-Bit)"/>
    <n v="0"/>
    <n v="0"/>
    <n v="0"/>
    <n v="1"/>
    <n v="0"/>
  </r>
  <r>
    <s v="20191010131415p"/>
    <x v="216"/>
    <s v="pageview"/>
    <x v="5"/>
    <n v="1"/>
    <x v="4"/>
    <s v="Windows 8 Professional"/>
    <n v="1"/>
    <n v="0"/>
    <n v="0"/>
    <n v="0"/>
    <n v="0"/>
  </r>
  <r>
    <s v="20191011131415e"/>
    <x v="217"/>
    <s v="event"/>
    <x v="1"/>
    <n v="1"/>
    <x v="0"/>
    <s v="Windows 8 Professional"/>
    <n v="0"/>
    <n v="1"/>
    <n v="0"/>
    <n v="0"/>
    <n v="0"/>
  </r>
  <r>
    <s v="20191011131415p"/>
    <x v="217"/>
    <s v="pageview"/>
    <x v="3"/>
    <n v="1"/>
    <x v="5"/>
    <s v="Windows 8 Professional"/>
    <n v="1"/>
    <n v="0"/>
    <n v="0"/>
    <n v="0"/>
    <n v="0"/>
  </r>
  <r>
    <s v="20191011131415p"/>
    <x v="217"/>
    <s v="pageview"/>
    <x v="3"/>
    <n v="1"/>
    <x v="5"/>
    <s v="Windows 8 Professional"/>
    <n v="1"/>
    <n v="0"/>
    <n v="0"/>
    <n v="0"/>
    <n v="0"/>
  </r>
  <r>
    <s v="20191011131415p"/>
    <x v="217"/>
    <s v="pageview"/>
    <x v="2"/>
    <n v="1"/>
    <x v="1"/>
    <s v="Windows XP (32-Bit)"/>
    <n v="1"/>
    <n v="0"/>
    <n v="0"/>
    <n v="0"/>
    <n v="0"/>
  </r>
  <r>
    <s v="20191011131415p"/>
    <x v="217"/>
    <s v="pageview"/>
    <x v="1"/>
    <n v="1"/>
    <x v="1"/>
    <s v="Windows XP (32-Bit)"/>
    <n v="1"/>
    <n v="0"/>
    <n v="0"/>
    <n v="0"/>
    <n v="0"/>
  </r>
  <r>
    <s v="20191011131415p"/>
    <x v="217"/>
    <s v="pageview"/>
    <x v="4"/>
    <n v="1"/>
    <x v="1"/>
    <s v="Windows XP (32-Bit)"/>
    <n v="1"/>
    <n v="0"/>
    <n v="0"/>
    <n v="0"/>
    <n v="0"/>
  </r>
  <r>
    <s v="20191011131415s"/>
    <x v="217"/>
    <s v="save"/>
    <x v="5"/>
    <n v="1"/>
    <x v="1"/>
    <s v="Windows XP (32-Bit)"/>
    <n v="0"/>
    <n v="0"/>
    <n v="0"/>
    <n v="1"/>
    <n v="0"/>
  </r>
  <r>
    <s v="20191011131415p"/>
    <x v="217"/>
    <s v="pageview"/>
    <x v="3"/>
    <n v="1"/>
    <x v="1"/>
    <s v="Windows XP (32-Bit)"/>
    <n v="1"/>
    <n v="0"/>
    <n v="0"/>
    <n v="0"/>
    <n v="0"/>
  </r>
  <r>
    <s v="20191011131415o"/>
    <x v="217"/>
    <s v="open"/>
    <x v="3"/>
    <n v="1"/>
    <x v="2"/>
    <s v="Windows XP (32-Bit)"/>
    <n v="0"/>
    <n v="0"/>
    <n v="1"/>
    <n v="0"/>
    <n v="0"/>
  </r>
  <r>
    <s v="20191011131415p"/>
    <x v="217"/>
    <s v="pageview"/>
    <x v="3"/>
    <n v="1"/>
    <x v="2"/>
    <s v="Windows XP (32-Bit)"/>
    <n v="1"/>
    <n v="0"/>
    <n v="0"/>
    <n v="0"/>
    <n v="0"/>
  </r>
  <r>
    <s v="20191011131415p"/>
    <x v="217"/>
    <s v="pageview"/>
    <x v="5"/>
    <n v="1"/>
    <x v="3"/>
    <s v="Windows XP (32-Bit)"/>
    <n v="1"/>
    <n v="0"/>
    <n v="0"/>
    <n v="0"/>
    <n v="0"/>
  </r>
  <r>
    <s v="20191011131415p"/>
    <x v="217"/>
    <s v="pageview"/>
    <x v="2"/>
    <n v="1"/>
    <x v="3"/>
    <s v="Windows XP (32-Bit)"/>
    <n v="1"/>
    <n v="0"/>
    <n v="0"/>
    <n v="0"/>
    <n v="0"/>
  </r>
  <r>
    <s v="20191011131415p"/>
    <x v="217"/>
    <s v="pageview"/>
    <x v="5"/>
    <n v="1"/>
    <x v="3"/>
    <s v="Windows XP (32-Bit)"/>
    <n v="1"/>
    <n v="0"/>
    <n v="0"/>
    <n v="0"/>
    <n v="0"/>
  </r>
  <r>
    <s v="20191011131415p"/>
    <x v="217"/>
    <s v="pageview"/>
    <x v="3"/>
    <n v="1"/>
    <x v="4"/>
    <s v="Windows 8 Professional"/>
    <n v="1"/>
    <n v="0"/>
    <n v="0"/>
    <n v="0"/>
    <n v="0"/>
  </r>
  <r>
    <s v="20191012131415p"/>
    <x v="218"/>
    <s v="pageview"/>
    <x v="1"/>
    <n v="1"/>
    <x v="0"/>
    <s v="Windows 8 Professional"/>
    <n v="1"/>
    <n v="0"/>
    <n v="0"/>
    <n v="0"/>
    <n v="0"/>
  </r>
  <r>
    <s v="20191012131415p"/>
    <x v="218"/>
    <s v="pageview"/>
    <x v="1"/>
    <n v="1"/>
    <x v="5"/>
    <s v="Windows 8 Professional"/>
    <n v="1"/>
    <n v="0"/>
    <n v="0"/>
    <n v="0"/>
    <n v="0"/>
  </r>
  <r>
    <s v="20191012131415e"/>
    <x v="218"/>
    <s v="event"/>
    <x v="0"/>
    <n v="1"/>
    <x v="4"/>
    <s v="Windows 8 Professional"/>
    <n v="0"/>
    <n v="1"/>
    <n v="0"/>
    <n v="0"/>
    <n v="0"/>
  </r>
  <r>
    <s v="20191013131415e"/>
    <x v="219"/>
    <s v="event"/>
    <x v="3"/>
    <n v="1"/>
    <x v="5"/>
    <s v="Windows 8 Professional"/>
    <n v="0"/>
    <n v="1"/>
    <n v="0"/>
    <n v="0"/>
    <n v="0"/>
  </r>
  <r>
    <s v="20191013131415s"/>
    <x v="219"/>
    <s v="save"/>
    <x v="5"/>
    <n v="1"/>
    <x v="5"/>
    <s v="Windows 8 Professional"/>
    <n v="0"/>
    <n v="0"/>
    <n v="0"/>
    <n v="1"/>
    <n v="0"/>
  </r>
  <r>
    <s v="20191013131415e"/>
    <x v="219"/>
    <s v="event"/>
    <x v="3"/>
    <n v="1"/>
    <x v="5"/>
    <s v="Windows 8 Professional"/>
    <n v="0"/>
    <n v="1"/>
    <n v="0"/>
    <n v="0"/>
    <n v="0"/>
  </r>
  <r>
    <s v="20191013131415e"/>
    <x v="219"/>
    <s v="event"/>
    <x v="2"/>
    <n v="1"/>
    <x v="1"/>
    <s v="Windows XP (32-Bit)"/>
    <n v="0"/>
    <n v="1"/>
    <n v="0"/>
    <n v="0"/>
    <n v="0"/>
  </r>
  <r>
    <s v="20191013131415p"/>
    <x v="219"/>
    <s v="pageview"/>
    <x v="5"/>
    <n v="1"/>
    <x v="1"/>
    <s v="Windows XP (32-Bit)"/>
    <n v="1"/>
    <n v="0"/>
    <n v="0"/>
    <n v="0"/>
    <n v="0"/>
  </r>
  <r>
    <s v="20191013131415e"/>
    <x v="219"/>
    <s v="event"/>
    <x v="1"/>
    <n v="1"/>
    <x v="1"/>
    <s v="Windows XP (32-Bit)"/>
    <n v="0"/>
    <n v="1"/>
    <n v="0"/>
    <n v="0"/>
    <n v="0"/>
  </r>
  <r>
    <s v="20191013131415p"/>
    <x v="219"/>
    <s v="pageview"/>
    <x v="5"/>
    <n v="1"/>
    <x v="2"/>
    <s v="Windows XP (32-Bit)"/>
    <n v="1"/>
    <n v="0"/>
    <n v="0"/>
    <n v="0"/>
    <n v="0"/>
  </r>
  <r>
    <s v="20191013131415p"/>
    <x v="219"/>
    <s v="pageview"/>
    <x v="4"/>
    <n v="1"/>
    <x v="2"/>
    <s v="Windows XP (32-Bit)"/>
    <n v="1"/>
    <n v="0"/>
    <n v="0"/>
    <n v="0"/>
    <n v="0"/>
  </r>
  <r>
    <s v="20191013131415p"/>
    <x v="219"/>
    <s v="pageview"/>
    <x v="4"/>
    <n v="1"/>
    <x v="3"/>
    <s v="Windows XP (32-Bit)"/>
    <n v="1"/>
    <n v="0"/>
    <n v="0"/>
    <n v="0"/>
    <n v="0"/>
  </r>
  <r>
    <s v="20191013131415e"/>
    <x v="219"/>
    <s v="event"/>
    <x v="4"/>
    <n v="1"/>
    <x v="3"/>
    <s v="Windows XP (32-Bit)"/>
    <n v="0"/>
    <n v="1"/>
    <n v="0"/>
    <n v="0"/>
    <n v="0"/>
  </r>
  <r>
    <s v="20191013131415p"/>
    <x v="219"/>
    <s v="pageview"/>
    <x v="3"/>
    <n v="1"/>
    <x v="3"/>
    <s v="Windows XP (32-Bit)"/>
    <n v="1"/>
    <n v="0"/>
    <n v="0"/>
    <n v="0"/>
    <n v="0"/>
  </r>
  <r>
    <s v="20191013131415p"/>
    <x v="219"/>
    <s v="pageview"/>
    <x v="0"/>
    <n v="1"/>
    <x v="4"/>
    <s v="Windows 8 Professional"/>
    <n v="1"/>
    <n v="0"/>
    <n v="0"/>
    <n v="0"/>
    <n v="0"/>
  </r>
  <r>
    <s v="20191013131415o"/>
    <x v="219"/>
    <s v="open"/>
    <x v="3"/>
    <n v="1"/>
    <x v="4"/>
    <s v="Windows 8 Professional"/>
    <n v="0"/>
    <n v="0"/>
    <n v="1"/>
    <n v="0"/>
    <n v="0"/>
  </r>
  <r>
    <s v="20191014115236o"/>
    <x v="220"/>
    <s v="open"/>
    <x v="12"/>
    <n v="1"/>
    <x v="6"/>
    <s v="Windows (32-bit) NT 10.00"/>
    <n v="0"/>
    <n v="0"/>
    <n v="1"/>
    <n v="0"/>
    <n v="0"/>
  </r>
  <r>
    <s v="20191014115310s"/>
    <x v="221"/>
    <s v="save"/>
    <x v="12"/>
    <n v="1"/>
    <x v="6"/>
    <s v="Windows (32-bit) NT 10.00"/>
    <n v="0"/>
    <n v="0"/>
    <n v="0"/>
    <n v="1"/>
    <n v="0"/>
  </r>
  <r>
    <s v="20191014115420p"/>
    <x v="222"/>
    <s v="pageview"/>
    <x v="8"/>
    <n v="1"/>
    <x v="6"/>
    <s v="Windows (32-bit) NT 10.00"/>
    <n v="1"/>
    <n v="0"/>
    <n v="0"/>
    <n v="0"/>
    <n v="0"/>
  </r>
  <r>
    <s v="20191014115422p"/>
    <x v="223"/>
    <s v="pageview"/>
    <x v="10"/>
    <n v="1"/>
    <x v="6"/>
    <s v="Windows (32-bit) NT 10.00"/>
    <n v="1"/>
    <n v="0"/>
    <n v="0"/>
    <n v="0"/>
    <n v="0"/>
  </r>
  <r>
    <s v="20191014115423p"/>
    <x v="224"/>
    <s v="pageview"/>
    <x v="11"/>
    <n v="1"/>
    <x v="6"/>
    <s v="Windows (32-bit) NT 10.00"/>
    <n v="1"/>
    <n v="0"/>
    <n v="0"/>
    <n v="0"/>
    <n v="0"/>
  </r>
  <r>
    <s v="20191014115430p"/>
    <x v="225"/>
    <s v="pageview"/>
    <x v="8"/>
    <n v="1"/>
    <x v="6"/>
    <s v="Windows (32-bit) NT 10.00"/>
    <n v="1"/>
    <n v="0"/>
    <n v="0"/>
    <n v="0"/>
    <n v="0"/>
  </r>
  <r>
    <s v="20191014115432s"/>
    <x v="226"/>
    <s v="save"/>
    <x v="8"/>
    <n v="1"/>
    <x v="6"/>
    <s v="Windows (32-bit) NT 10.00"/>
    <n v="0"/>
    <n v="0"/>
    <n v="0"/>
    <n v="1"/>
    <n v="0"/>
  </r>
  <r>
    <s v="20191014115502p"/>
    <x v="227"/>
    <s v="pageview"/>
    <x v="12"/>
    <n v="1"/>
    <x v="6"/>
    <s v="Windows (32-bit) NT 10.00"/>
    <n v="1"/>
    <n v="0"/>
    <n v="0"/>
    <n v="0"/>
    <n v="0"/>
  </r>
  <r>
    <s v="20191014115503p"/>
    <x v="228"/>
    <s v="pageview"/>
    <x v="5"/>
    <n v="1"/>
    <x v="6"/>
    <s v="Windows (32-bit) NT 10.00"/>
    <n v="1"/>
    <n v="0"/>
    <n v="0"/>
    <n v="0"/>
    <n v="0"/>
  </r>
  <r>
    <s v="20191014115509p"/>
    <x v="229"/>
    <s v="pageview"/>
    <x v="7"/>
    <n v="1"/>
    <x v="6"/>
    <s v="Windows (32-bit) NT 10.00"/>
    <n v="1"/>
    <n v="0"/>
    <n v="0"/>
    <n v="0"/>
    <n v="0"/>
  </r>
  <r>
    <s v="20191014115510p"/>
    <x v="230"/>
    <s v="pageview"/>
    <x v="3"/>
    <n v="1"/>
    <x v="6"/>
    <s v="Windows (32-bit) NT 10.00"/>
    <n v="1"/>
    <n v="0"/>
    <n v="0"/>
    <n v="0"/>
    <n v="0"/>
  </r>
  <r>
    <s v="20191014115517p"/>
    <x v="231"/>
    <s v="pageview"/>
    <x v="12"/>
    <n v="1"/>
    <x v="6"/>
    <s v="Windows (32-bit) NT 10.00"/>
    <n v="1"/>
    <n v="0"/>
    <n v="0"/>
    <n v="0"/>
    <n v="0"/>
  </r>
  <r>
    <s v="20191014115518p"/>
    <x v="232"/>
    <s v="pageview"/>
    <x v="7"/>
    <n v="1"/>
    <x v="6"/>
    <s v="Windows (32-bit) NT 10.00"/>
    <n v="1"/>
    <n v="0"/>
    <n v="0"/>
    <n v="0"/>
    <n v="0"/>
  </r>
  <r>
    <s v="20191014115521p"/>
    <x v="233"/>
    <s v="pageview"/>
    <x v="8"/>
    <n v="1"/>
    <x v="6"/>
    <s v="Windows (32-bit) NT 10.00"/>
    <n v="1"/>
    <n v="0"/>
    <n v="0"/>
    <n v="0"/>
    <n v="0"/>
  </r>
  <r>
    <s v="20191014115522p"/>
    <x v="234"/>
    <s v="pageview"/>
    <x v="10"/>
    <n v="1"/>
    <x v="6"/>
    <s v="Windows (32-bit) NT 10.00"/>
    <n v="1"/>
    <n v="0"/>
    <n v="0"/>
    <n v="0"/>
    <n v="0"/>
  </r>
  <r>
    <s v="20191014115524p"/>
    <x v="235"/>
    <s v="pageview"/>
    <x v="11"/>
    <n v="1"/>
    <x v="6"/>
    <s v="Windows (32-bit) NT 10.00"/>
    <n v="1"/>
    <n v="0"/>
    <n v="0"/>
    <n v="0"/>
    <n v="0"/>
  </r>
  <r>
    <s v="20191014115526p"/>
    <x v="236"/>
    <s v="pageview"/>
    <x v="5"/>
    <n v="1"/>
    <x v="6"/>
    <s v="Windows (32-bit) NT 10.00"/>
    <n v="1"/>
    <n v="0"/>
    <n v="0"/>
    <n v="0"/>
    <n v="0"/>
  </r>
  <r>
    <s v="20191014120648o"/>
    <x v="237"/>
    <s v="open"/>
    <x v="5"/>
    <n v="1"/>
    <x v="6"/>
    <s v="Windows (32-bit) NT 10.00"/>
    <n v="0"/>
    <n v="0"/>
    <n v="1"/>
    <n v="0"/>
    <n v="0"/>
  </r>
  <r>
    <s v="20191014120652p"/>
    <x v="238"/>
    <s v="pageview"/>
    <x v="12"/>
    <n v="1"/>
    <x v="6"/>
    <s v="Windows (32-bit) NT 10.00"/>
    <n v="1"/>
    <n v="0"/>
    <n v="0"/>
    <n v="0"/>
    <n v="0"/>
  </r>
  <r>
    <s v="20191014124856s"/>
    <x v="239"/>
    <s v="save"/>
    <x v="12"/>
    <n v="1"/>
    <x v="6"/>
    <s v="Windows (32-bit) NT 10.00"/>
    <n v="0"/>
    <n v="0"/>
    <n v="0"/>
    <n v="1"/>
    <n v="0"/>
  </r>
  <r>
    <s v="20191014125002p"/>
    <x v="240"/>
    <s v="pageview"/>
    <x v="3"/>
    <n v="1"/>
    <x v="6"/>
    <s v="Windows (32-bit) NT 10.00"/>
    <n v="1"/>
    <n v="0"/>
    <n v="0"/>
    <n v="0"/>
    <n v="0"/>
  </r>
  <r>
    <s v="20191014125003p"/>
    <x v="241"/>
    <s v="pageview"/>
    <x v="12"/>
    <n v="1"/>
    <x v="6"/>
    <s v="Windows (32-bit) NT 10.00"/>
    <n v="1"/>
    <n v="0"/>
    <n v="0"/>
    <n v="0"/>
    <n v="0"/>
  </r>
  <r>
    <s v="20191014125004p"/>
    <x v="242"/>
    <s v="pageview"/>
    <x v="8"/>
    <n v="1"/>
    <x v="6"/>
    <s v="Windows (32-bit) NT 10.00"/>
    <n v="1"/>
    <n v="0"/>
    <n v="0"/>
    <n v="0"/>
    <n v="0"/>
  </r>
  <r>
    <s v="20191014125026s"/>
    <x v="243"/>
    <s v="save"/>
    <x v="8"/>
    <n v="1"/>
    <x v="6"/>
    <s v="Windows (32-bit) NT 10.00"/>
    <n v="0"/>
    <n v="0"/>
    <n v="0"/>
    <n v="1"/>
    <n v="0"/>
  </r>
  <r>
    <s v="20191014125816p"/>
    <x v="244"/>
    <s v="pageview"/>
    <x v="3"/>
    <n v="1"/>
    <x v="6"/>
    <s v="Windows (32-bit) NT 10.00"/>
    <n v="1"/>
    <n v="0"/>
    <n v="0"/>
    <n v="0"/>
    <n v="0"/>
  </r>
  <r>
    <s v="20191014125843p"/>
    <x v="245"/>
    <s v="pageview"/>
    <x v="12"/>
    <n v="1"/>
    <x v="6"/>
    <s v="Windows (32-bit) NT 10.00"/>
    <n v="1"/>
    <n v="0"/>
    <n v="0"/>
    <n v="0"/>
    <n v="0"/>
  </r>
  <r>
    <s v="20191014125851s"/>
    <x v="246"/>
    <s v="save"/>
    <x v="12"/>
    <n v="1"/>
    <x v="6"/>
    <s v="Windows (32-bit) NT 10.00"/>
    <n v="0"/>
    <n v="0"/>
    <n v="0"/>
    <n v="1"/>
    <n v="0"/>
  </r>
  <r>
    <s v="20191014131415p"/>
    <x v="247"/>
    <s v="pageview"/>
    <x v="0"/>
    <n v="1"/>
    <x v="0"/>
    <s v="Windows 8 Professional"/>
    <n v="1"/>
    <n v="0"/>
    <n v="0"/>
    <n v="0"/>
    <n v="0"/>
  </r>
  <r>
    <s v="20191014131415p"/>
    <x v="247"/>
    <s v="pageview"/>
    <x v="2"/>
    <n v="1"/>
    <x v="5"/>
    <s v="Windows 8 Professional"/>
    <n v="1"/>
    <n v="0"/>
    <n v="0"/>
    <n v="0"/>
    <n v="0"/>
  </r>
  <r>
    <s v="20191014131415o"/>
    <x v="247"/>
    <s v="open"/>
    <x v="2"/>
    <n v="1"/>
    <x v="5"/>
    <s v="Windows 8 Professional"/>
    <n v="0"/>
    <n v="0"/>
    <n v="1"/>
    <n v="0"/>
    <n v="0"/>
  </r>
  <r>
    <s v="20191014131415e"/>
    <x v="247"/>
    <s v="event"/>
    <x v="0"/>
    <n v="1"/>
    <x v="1"/>
    <s v="Windows XP (32-Bit)"/>
    <n v="0"/>
    <n v="1"/>
    <n v="0"/>
    <n v="0"/>
    <n v="0"/>
  </r>
  <r>
    <s v="20191014131415p"/>
    <x v="247"/>
    <s v="pageview"/>
    <x v="0"/>
    <n v="1"/>
    <x v="1"/>
    <s v="Windows XP (32-Bit)"/>
    <n v="1"/>
    <n v="0"/>
    <n v="0"/>
    <n v="0"/>
    <n v="0"/>
  </r>
  <r>
    <s v="20191014131415e"/>
    <x v="247"/>
    <s v="event"/>
    <x v="1"/>
    <n v="1"/>
    <x v="2"/>
    <s v="Windows XP (32-Bit)"/>
    <n v="0"/>
    <n v="1"/>
    <n v="0"/>
    <n v="0"/>
    <n v="0"/>
  </r>
  <r>
    <s v="20191014131415p"/>
    <x v="247"/>
    <s v="pageview"/>
    <x v="4"/>
    <n v="1"/>
    <x v="3"/>
    <s v="Windows XP (32-Bit)"/>
    <n v="1"/>
    <n v="0"/>
    <n v="0"/>
    <n v="0"/>
    <n v="0"/>
  </r>
  <r>
    <s v="20191014131415p"/>
    <x v="247"/>
    <s v="pageview"/>
    <x v="1"/>
    <n v="1"/>
    <x v="3"/>
    <s v="Windows XP (32-Bit)"/>
    <n v="1"/>
    <n v="0"/>
    <n v="0"/>
    <n v="0"/>
    <n v="0"/>
  </r>
  <r>
    <s v="20191014131415s"/>
    <x v="247"/>
    <s v="save"/>
    <x v="3"/>
    <n v="1"/>
    <x v="4"/>
    <s v="Windows 8 Professional"/>
    <n v="0"/>
    <n v="0"/>
    <n v="0"/>
    <n v="1"/>
    <n v="0"/>
  </r>
  <r>
    <s v="20191014131415e"/>
    <x v="247"/>
    <s v="event"/>
    <x v="2"/>
    <n v="1"/>
    <x v="4"/>
    <s v="Windows 8 Professional"/>
    <n v="0"/>
    <n v="1"/>
    <n v="0"/>
    <n v="0"/>
    <n v="0"/>
  </r>
  <r>
    <s v="20191015131415p"/>
    <x v="248"/>
    <s v="pageview"/>
    <x v="0"/>
    <n v="1"/>
    <x v="0"/>
    <s v="Windows 8 Professional"/>
    <n v="1"/>
    <n v="0"/>
    <n v="0"/>
    <n v="0"/>
    <n v="0"/>
  </r>
  <r>
    <s v="20191015131415p"/>
    <x v="248"/>
    <s v="pageview"/>
    <x v="4"/>
    <n v="1"/>
    <x v="0"/>
    <s v="Windows 8 Professional"/>
    <n v="1"/>
    <n v="0"/>
    <n v="0"/>
    <n v="0"/>
    <n v="0"/>
  </r>
  <r>
    <s v="20191015131415s"/>
    <x v="248"/>
    <s v="save"/>
    <x v="4"/>
    <n v="1"/>
    <x v="0"/>
    <s v="Windows 8 Professional"/>
    <n v="0"/>
    <n v="0"/>
    <n v="0"/>
    <n v="1"/>
    <n v="0"/>
  </r>
  <r>
    <s v="20191015131415o"/>
    <x v="248"/>
    <s v="open"/>
    <x v="0"/>
    <n v="1"/>
    <x v="5"/>
    <s v="Windows 8 Professional"/>
    <n v="0"/>
    <n v="0"/>
    <n v="1"/>
    <n v="0"/>
    <n v="0"/>
  </r>
  <r>
    <s v="20191015131415p"/>
    <x v="248"/>
    <s v="pageview"/>
    <x v="1"/>
    <n v="1"/>
    <x v="5"/>
    <s v="Windows 8 Professional"/>
    <n v="1"/>
    <n v="0"/>
    <n v="0"/>
    <n v="0"/>
    <n v="0"/>
  </r>
  <r>
    <s v="20191015131415s"/>
    <x v="248"/>
    <s v="save"/>
    <x v="1"/>
    <n v="1"/>
    <x v="5"/>
    <s v="Windows 8 Professional"/>
    <n v="0"/>
    <n v="0"/>
    <n v="0"/>
    <n v="1"/>
    <n v="0"/>
  </r>
  <r>
    <s v="20191015131415p"/>
    <x v="248"/>
    <s v="pageview"/>
    <x v="4"/>
    <n v="1"/>
    <x v="5"/>
    <s v="Windows 8 Professional"/>
    <n v="1"/>
    <n v="0"/>
    <n v="0"/>
    <n v="0"/>
    <n v="0"/>
  </r>
  <r>
    <s v="20191015131415p"/>
    <x v="248"/>
    <s v="pageview"/>
    <x v="1"/>
    <n v="1"/>
    <x v="1"/>
    <s v="Windows XP (32-Bit)"/>
    <n v="1"/>
    <n v="0"/>
    <n v="0"/>
    <n v="0"/>
    <n v="0"/>
  </r>
  <r>
    <s v="20191015131415p"/>
    <x v="248"/>
    <s v="pageview"/>
    <x v="1"/>
    <n v="1"/>
    <x v="1"/>
    <s v="Windows XP (32-Bit)"/>
    <n v="1"/>
    <n v="0"/>
    <n v="0"/>
    <n v="0"/>
    <n v="0"/>
  </r>
  <r>
    <s v="20191015131415p"/>
    <x v="248"/>
    <s v="pageview"/>
    <x v="2"/>
    <n v="1"/>
    <x v="2"/>
    <s v="Windows XP (32-Bit)"/>
    <n v="1"/>
    <n v="0"/>
    <n v="0"/>
    <n v="0"/>
    <n v="0"/>
  </r>
  <r>
    <s v="20191015131415p"/>
    <x v="248"/>
    <s v="pageview"/>
    <x v="1"/>
    <n v="1"/>
    <x v="2"/>
    <s v="Windows XP (32-Bit)"/>
    <n v="1"/>
    <n v="0"/>
    <n v="0"/>
    <n v="0"/>
    <n v="0"/>
  </r>
  <r>
    <s v="20191015131415p"/>
    <x v="248"/>
    <s v="pageview"/>
    <x v="4"/>
    <n v="1"/>
    <x v="2"/>
    <s v="Windows XP (32-Bit)"/>
    <n v="1"/>
    <n v="0"/>
    <n v="0"/>
    <n v="0"/>
    <n v="0"/>
  </r>
  <r>
    <s v="20191015131415o"/>
    <x v="248"/>
    <s v="open"/>
    <x v="2"/>
    <n v="1"/>
    <x v="3"/>
    <s v="Windows XP (32-Bit)"/>
    <n v="0"/>
    <n v="0"/>
    <n v="1"/>
    <n v="0"/>
    <n v="0"/>
  </r>
  <r>
    <s v="20191015131415s"/>
    <x v="248"/>
    <s v="save"/>
    <x v="1"/>
    <n v="1"/>
    <x v="4"/>
    <s v="Windows 8 Professional"/>
    <n v="0"/>
    <n v="0"/>
    <n v="0"/>
    <n v="1"/>
    <n v="0"/>
  </r>
  <r>
    <s v="20191016131415o"/>
    <x v="249"/>
    <s v="open"/>
    <x v="1"/>
    <n v="1"/>
    <x v="0"/>
    <s v="Windows 8 Professional"/>
    <n v="0"/>
    <n v="0"/>
    <n v="1"/>
    <n v="0"/>
    <n v="0"/>
  </r>
  <r>
    <s v="20191016131415p"/>
    <x v="249"/>
    <s v="pageview"/>
    <x v="2"/>
    <n v="1"/>
    <x v="5"/>
    <s v="Windows 8 Professional"/>
    <n v="1"/>
    <n v="0"/>
    <n v="0"/>
    <n v="0"/>
    <n v="0"/>
  </r>
  <r>
    <s v="20191016131415p"/>
    <x v="249"/>
    <s v="pageview"/>
    <x v="1"/>
    <n v="1"/>
    <x v="1"/>
    <s v="Windows XP (32-Bit)"/>
    <n v="1"/>
    <n v="0"/>
    <n v="0"/>
    <n v="0"/>
    <n v="0"/>
  </r>
  <r>
    <s v="20191016131415p"/>
    <x v="249"/>
    <s v="pageview"/>
    <x v="3"/>
    <n v="1"/>
    <x v="1"/>
    <s v="Windows XP (32-Bit)"/>
    <n v="1"/>
    <n v="0"/>
    <n v="0"/>
    <n v="0"/>
    <n v="0"/>
  </r>
  <r>
    <s v="20191016131415e"/>
    <x v="249"/>
    <s v="event"/>
    <x v="0"/>
    <n v="1"/>
    <x v="2"/>
    <s v="Windows XP (32-Bit)"/>
    <n v="0"/>
    <n v="1"/>
    <n v="0"/>
    <n v="0"/>
    <n v="0"/>
  </r>
  <r>
    <s v="20191016131415p"/>
    <x v="249"/>
    <s v="pageview"/>
    <x v="2"/>
    <n v="1"/>
    <x v="2"/>
    <s v="Windows XP (32-Bit)"/>
    <n v="1"/>
    <n v="0"/>
    <n v="0"/>
    <n v="0"/>
    <n v="0"/>
  </r>
  <r>
    <s v="20191016131415p"/>
    <x v="249"/>
    <s v="pageview"/>
    <x v="3"/>
    <n v="1"/>
    <x v="2"/>
    <s v="Windows XP (32-Bit)"/>
    <n v="1"/>
    <n v="0"/>
    <n v="0"/>
    <n v="0"/>
    <n v="0"/>
  </r>
  <r>
    <s v="20191016131415p"/>
    <x v="249"/>
    <s v="pageview"/>
    <x v="5"/>
    <n v="1"/>
    <x v="3"/>
    <s v="Windows XP (32-Bit)"/>
    <n v="1"/>
    <n v="0"/>
    <n v="0"/>
    <n v="0"/>
    <n v="0"/>
  </r>
  <r>
    <s v="20191016131415p"/>
    <x v="249"/>
    <s v="pageview"/>
    <x v="4"/>
    <n v="1"/>
    <x v="3"/>
    <s v="Windows XP (32-Bit)"/>
    <n v="1"/>
    <n v="0"/>
    <n v="0"/>
    <n v="0"/>
    <n v="0"/>
  </r>
  <r>
    <s v="20191016131415p"/>
    <x v="249"/>
    <s v="pageview"/>
    <x v="4"/>
    <n v="1"/>
    <x v="3"/>
    <s v="Windows XP (32-Bit)"/>
    <n v="1"/>
    <n v="0"/>
    <n v="0"/>
    <n v="0"/>
    <n v="0"/>
  </r>
  <r>
    <s v="20191016131415e"/>
    <x v="249"/>
    <s v="event"/>
    <x v="3"/>
    <n v="1"/>
    <x v="4"/>
    <s v="Windows 8 Professional"/>
    <n v="0"/>
    <n v="1"/>
    <n v="0"/>
    <n v="0"/>
    <n v="0"/>
  </r>
  <r>
    <s v="20191017131415p"/>
    <x v="250"/>
    <s v="pageview"/>
    <x v="0"/>
    <n v="1"/>
    <x v="0"/>
    <s v="Windows 8 Professional"/>
    <n v="1"/>
    <n v="0"/>
    <n v="0"/>
    <n v="0"/>
    <n v="0"/>
  </r>
  <r>
    <s v="20191017131415o"/>
    <x v="250"/>
    <s v="open"/>
    <x v="2"/>
    <n v="1"/>
    <x v="0"/>
    <s v="Windows 8 Professional"/>
    <n v="0"/>
    <n v="0"/>
    <n v="1"/>
    <n v="0"/>
    <n v="0"/>
  </r>
  <r>
    <s v="20191017131415p"/>
    <x v="250"/>
    <s v="pageview"/>
    <x v="4"/>
    <n v="1"/>
    <x v="5"/>
    <s v="Windows 8 Professional"/>
    <n v="1"/>
    <n v="0"/>
    <n v="0"/>
    <n v="0"/>
    <n v="0"/>
  </r>
  <r>
    <s v="20191017131415s"/>
    <x v="250"/>
    <s v="save"/>
    <x v="1"/>
    <n v="1"/>
    <x v="5"/>
    <s v="Windows 8 Professional"/>
    <n v="0"/>
    <n v="0"/>
    <n v="0"/>
    <n v="1"/>
    <n v="0"/>
  </r>
  <r>
    <s v="20191017131415o"/>
    <x v="250"/>
    <s v="open"/>
    <x v="5"/>
    <n v="1"/>
    <x v="5"/>
    <s v="Windows 8 Professional"/>
    <n v="0"/>
    <n v="0"/>
    <n v="1"/>
    <n v="0"/>
    <n v="0"/>
  </r>
  <r>
    <s v="20191017131415s"/>
    <x v="250"/>
    <s v="save"/>
    <x v="1"/>
    <n v="1"/>
    <x v="5"/>
    <s v="Windows 8 Professional"/>
    <n v="0"/>
    <n v="0"/>
    <n v="0"/>
    <n v="1"/>
    <n v="0"/>
  </r>
  <r>
    <s v="20191017131415e"/>
    <x v="250"/>
    <s v="event"/>
    <x v="4"/>
    <n v="1"/>
    <x v="1"/>
    <s v="Windows XP (32-Bit)"/>
    <n v="0"/>
    <n v="1"/>
    <n v="0"/>
    <n v="0"/>
    <n v="0"/>
  </r>
  <r>
    <s v="20191017131415o"/>
    <x v="250"/>
    <s v="open"/>
    <x v="0"/>
    <n v="1"/>
    <x v="1"/>
    <s v="Windows XP (32-Bit)"/>
    <n v="0"/>
    <n v="0"/>
    <n v="1"/>
    <n v="0"/>
    <n v="0"/>
  </r>
  <r>
    <s v="20191017131415p"/>
    <x v="250"/>
    <s v="pageview"/>
    <x v="3"/>
    <n v="1"/>
    <x v="1"/>
    <s v="Windows XP (32-Bit)"/>
    <n v="1"/>
    <n v="0"/>
    <n v="0"/>
    <n v="0"/>
    <n v="0"/>
  </r>
  <r>
    <s v="20191017131415p"/>
    <x v="250"/>
    <s v="pageview"/>
    <x v="1"/>
    <n v="1"/>
    <x v="3"/>
    <s v="Windows XP (32-Bit)"/>
    <n v="1"/>
    <n v="0"/>
    <n v="0"/>
    <n v="0"/>
    <n v="0"/>
  </r>
  <r>
    <s v="20191018131415p"/>
    <x v="251"/>
    <s v="pageview"/>
    <x v="1"/>
    <n v="1"/>
    <x v="0"/>
    <s v="Windows 8 Professional"/>
    <n v="1"/>
    <n v="0"/>
    <n v="0"/>
    <n v="0"/>
    <n v="0"/>
  </r>
  <r>
    <s v="20191018131415p"/>
    <x v="251"/>
    <s v="pageview"/>
    <x v="5"/>
    <n v="1"/>
    <x v="5"/>
    <s v="Windows 8 Professional"/>
    <n v="1"/>
    <n v="0"/>
    <n v="0"/>
    <n v="0"/>
    <n v="0"/>
  </r>
  <r>
    <s v="20191018131415e"/>
    <x v="251"/>
    <s v="event"/>
    <x v="4"/>
    <n v="1"/>
    <x v="5"/>
    <s v="Windows 8 Professional"/>
    <n v="0"/>
    <n v="1"/>
    <n v="0"/>
    <n v="0"/>
    <n v="0"/>
  </r>
  <r>
    <s v="20191018131415p"/>
    <x v="251"/>
    <s v="pageview"/>
    <x v="5"/>
    <n v="1"/>
    <x v="5"/>
    <s v="Windows 8 Professional"/>
    <n v="1"/>
    <n v="0"/>
    <n v="0"/>
    <n v="0"/>
    <n v="0"/>
  </r>
  <r>
    <s v="20191018131415p"/>
    <x v="251"/>
    <s v="pageview"/>
    <x v="3"/>
    <n v="1"/>
    <x v="1"/>
    <s v="Windows XP (32-Bit)"/>
    <n v="1"/>
    <n v="0"/>
    <n v="0"/>
    <n v="0"/>
    <n v="0"/>
  </r>
  <r>
    <s v="20191018131415p"/>
    <x v="251"/>
    <s v="pageview"/>
    <x v="3"/>
    <n v="1"/>
    <x v="3"/>
    <s v="Windows XP (32-Bit)"/>
    <n v="1"/>
    <n v="0"/>
    <n v="0"/>
    <n v="0"/>
    <n v="0"/>
  </r>
  <r>
    <s v="20191018131415p"/>
    <x v="251"/>
    <s v="pageview"/>
    <x v="0"/>
    <n v="1"/>
    <x v="3"/>
    <s v="Windows XP (32-Bit)"/>
    <n v="1"/>
    <n v="0"/>
    <n v="0"/>
    <n v="0"/>
    <n v="0"/>
  </r>
  <r>
    <s v="20191018131415p"/>
    <x v="251"/>
    <s v="pageview"/>
    <x v="1"/>
    <n v="1"/>
    <x v="3"/>
    <s v="Windows XP (32-Bit)"/>
    <n v="1"/>
    <n v="0"/>
    <n v="0"/>
    <n v="0"/>
    <n v="0"/>
  </r>
  <r>
    <s v="20191018131415p"/>
    <x v="251"/>
    <s v="pageview"/>
    <x v="3"/>
    <n v="1"/>
    <x v="4"/>
    <s v="Windows 8 Professional"/>
    <n v="1"/>
    <n v="0"/>
    <n v="0"/>
    <n v="0"/>
    <n v="0"/>
  </r>
  <r>
    <s v="20191019131415p"/>
    <x v="252"/>
    <s v="pageview"/>
    <x v="0"/>
    <n v="1"/>
    <x v="0"/>
    <s v="Windows 8 Professional"/>
    <n v="1"/>
    <n v="0"/>
    <n v="0"/>
    <n v="0"/>
    <n v="0"/>
  </r>
  <r>
    <s v="20191019131415p"/>
    <x v="252"/>
    <s v="pageview"/>
    <x v="4"/>
    <n v="1"/>
    <x v="5"/>
    <s v="Windows 8 Professional"/>
    <n v="1"/>
    <n v="0"/>
    <n v="0"/>
    <n v="0"/>
    <n v="0"/>
  </r>
  <r>
    <s v="20191019131415e"/>
    <x v="252"/>
    <s v="event"/>
    <x v="1"/>
    <n v="1"/>
    <x v="1"/>
    <s v="Windows XP (32-Bit)"/>
    <n v="0"/>
    <n v="1"/>
    <n v="0"/>
    <n v="0"/>
    <n v="0"/>
  </r>
  <r>
    <s v="20191019131415p"/>
    <x v="252"/>
    <s v="pageview"/>
    <x v="0"/>
    <n v="1"/>
    <x v="2"/>
    <s v="Windows XP (32-Bit)"/>
    <n v="1"/>
    <n v="0"/>
    <n v="0"/>
    <n v="0"/>
    <n v="0"/>
  </r>
  <r>
    <s v="20191019131415o"/>
    <x v="252"/>
    <s v="open"/>
    <x v="4"/>
    <n v="1"/>
    <x v="2"/>
    <s v="Windows XP (32-Bit)"/>
    <n v="0"/>
    <n v="0"/>
    <n v="1"/>
    <n v="0"/>
    <n v="0"/>
  </r>
  <r>
    <s v="20191019131415p"/>
    <x v="252"/>
    <s v="pageview"/>
    <x v="3"/>
    <n v="1"/>
    <x v="2"/>
    <s v="Windows XP (32-Bit)"/>
    <n v="1"/>
    <n v="0"/>
    <n v="0"/>
    <n v="0"/>
    <n v="0"/>
  </r>
  <r>
    <s v="20191019131415p"/>
    <x v="252"/>
    <s v="pageview"/>
    <x v="3"/>
    <n v="1"/>
    <x v="2"/>
    <s v="Windows XP (32-Bit)"/>
    <n v="1"/>
    <n v="0"/>
    <n v="0"/>
    <n v="0"/>
    <n v="0"/>
  </r>
  <r>
    <s v="20191019131415p"/>
    <x v="252"/>
    <s v="pageview"/>
    <x v="4"/>
    <n v="1"/>
    <x v="3"/>
    <s v="Windows XP (32-Bit)"/>
    <n v="1"/>
    <n v="0"/>
    <n v="0"/>
    <n v="0"/>
    <n v="0"/>
  </r>
  <r>
    <s v="20191019131415p"/>
    <x v="252"/>
    <s v="pageview"/>
    <x v="0"/>
    <n v="1"/>
    <x v="3"/>
    <s v="Windows XP (32-Bit)"/>
    <n v="1"/>
    <n v="0"/>
    <n v="0"/>
    <n v="0"/>
    <n v="0"/>
  </r>
  <r>
    <s v="20191019131415p"/>
    <x v="252"/>
    <s v="pageview"/>
    <x v="2"/>
    <n v="1"/>
    <x v="3"/>
    <s v="Windows XP (32-Bit)"/>
    <n v="1"/>
    <n v="0"/>
    <n v="0"/>
    <n v="0"/>
    <n v="0"/>
  </r>
  <r>
    <s v="20191019131415p"/>
    <x v="252"/>
    <s v="pageview"/>
    <x v="0"/>
    <n v="1"/>
    <x v="3"/>
    <s v="Windows XP (32-Bit)"/>
    <n v="1"/>
    <n v="0"/>
    <n v="0"/>
    <n v="0"/>
    <n v="0"/>
  </r>
  <r>
    <s v="20191019131415p"/>
    <x v="252"/>
    <s v="pageview"/>
    <x v="3"/>
    <n v="1"/>
    <x v="4"/>
    <s v="Windows 8 Professional"/>
    <n v="1"/>
    <n v="0"/>
    <n v="0"/>
    <n v="0"/>
    <n v="0"/>
  </r>
  <r>
    <s v="20191019131415p"/>
    <x v="252"/>
    <s v="pageview"/>
    <x v="5"/>
    <n v="1"/>
    <x v="4"/>
    <s v="Windows 8 Professional"/>
    <n v="1"/>
    <n v="0"/>
    <n v="0"/>
    <n v="0"/>
    <n v="0"/>
  </r>
  <r>
    <s v="20191020131415o"/>
    <x v="253"/>
    <s v="open"/>
    <x v="0"/>
    <n v="1"/>
    <x v="0"/>
    <s v="Windows 8 Professional"/>
    <n v="0"/>
    <n v="0"/>
    <n v="1"/>
    <n v="0"/>
    <n v="0"/>
  </r>
  <r>
    <s v="20191020131415e"/>
    <x v="253"/>
    <s v="event"/>
    <x v="0"/>
    <n v="1"/>
    <x v="0"/>
    <s v="Windows 8 Professional"/>
    <n v="0"/>
    <n v="1"/>
    <n v="0"/>
    <n v="0"/>
    <n v="0"/>
  </r>
  <r>
    <s v="20191020131415o"/>
    <x v="253"/>
    <s v="open"/>
    <x v="1"/>
    <n v="1"/>
    <x v="0"/>
    <s v="Windows 8 Professional"/>
    <n v="0"/>
    <n v="0"/>
    <n v="1"/>
    <n v="0"/>
    <n v="0"/>
  </r>
  <r>
    <s v="20191020131415p"/>
    <x v="253"/>
    <s v="pageview"/>
    <x v="0"/>
    <n v="1"/>
    <x v="0"/>
    <s v="Windows 8 Professional"/>
    <n v="1"/>
    <n v="0"/>
    <n v="0"/>
    <n v="0"/>
    <n v="0"/>
  </r>
  <r>
    <s v="20191020131415p"/>
    <x v="253"/>
    <s v="pageview"/>
    <x v="3"/>
    <n v="1"/>
    <x v="5"/>
    <s v="Windows 8 Professional"/>
    <n v="1"/>
    <n v="0"/>
    <n v="0"/>
    <n v="0"/>
    <n v="0"/>
  </r>
  <r>
    <s v="20191020131415o"/>
    <x v="253"/>
    <s v="open"/>
    <x v="2"/>
    <n v="1"/>
    <x v="5"/>
    <s v="Windows 8 Professional"/>
    <n v="0"/>
    <n v="0"/>
    <n v="1"/>
    <n v="0"/>
    <n v="0"/>
  </r>
  <r>
    <s v="20191020131415p"/>
    <x v="253"/>
    <s v="pageview"/>
    <x v="5"/>
    <n v="1"/>
    <x v="5"/>
    <s v="Windows 8 Professional"/>
    <n v="1"/>
    <n v="0"/>
    <n v="0"/>
    <n v="0"/>
    <n v="0"/>
  </r>
  <r>
    <s v="20191020131415p"/>
    <x v="253"/>
    <s v="pageview"/>
    <x v="5"/>
    <n v="1"/>
    <x v="2"/>
    <s v="Windows XP (32-Bit)"/>
    <n v="1"/>
    <n v="0"/>
    <n v="0"/>
    <n v="0"/>
    <n v="0"/>
  </r>
  <r>
    <s v="20191020131415e"/>
    <x v="253"/>
    <s v="event"/>
    <x v="0"/>
    <n v="1"/>
    <x v="2"/>
    <s v="Windows XP (32-Bit)"/>
    <n v="0"/>
    <n v="1"/>
    <n v="0"/>
    <n v="0"/>
    <n v="0"/>
  </r>
  <r>
    <s v="20191020131415e"/>
    <x v="253"/>
    <s v="event"/>
    <x v="1"/>
    <n v="1"/>
    <x v="2"/>
    <s v="Windows XP (32-Bit)"/>
    <n v="0"/>
    <n v="1"/>
    <n v="0"/>
    <n v="0"/>
    <n v="0"/>
  </r>
  <r>
    <s v="20191020131415e"/>
    <x v="253"/>
    <s v="event"/>
    <x v="1"/>
    <n v="1"/>
    <x v="2"/>
    <s v="Windows XP (32-Bit)"/>
    <n v="0"/>
    <n v="1"/>
    <n v="0"/>
    <n v="0"/>
    <n v="0"/>
  </r>
  <r>
    <s v="20191020131415s"/>
    <x v="253"/>
    <s v="save"/>
    <x v="2"/>
    <n v="1"/>
    <x v="2"/>
    <s v="Windows XP (32-Bit)"/>
    <n v="0"/>
    <n v="0"/>
    <n v="0"/>
    <n v="1"/>
    <n v="0"/>
  </r>
  <r>
    <s v="20191020131415p"/>
    <x v="253"/>
    <s v="pageview"/>
    <x v="1"/>
    <n v="1"/>
    <x v="2"/>
    <s v="Windows XP (32-Bit)"/>
    <n v="1"/>
    <n v="0"/>
    <n v="0"/>
    <n v="0"/>
    <n v="0"/>
  </r>
  <r>
    <s v="20191021131415p"/>
    <x v="254"/>
    <s v="pageview"/>
    <x v="3"/>
    <n v="1"/>
    <x v="0"/>
    <s v="Windows 8 Professional"/>
    <n v="1"/>
    <n v="0"/>
    <n v="0"/>
    <n v="0"/>
    <n v="0"/>
  </r>
  <r>
    <s v="20191021131415p"/>
    <x v="254"/>
    <s v="pageview"/>
    <x v="2"/>
    <n v="1"/>
    <x v="0"/>
    <s v="Windows 8 Professional"/>
    <n v="1"/>
    <n v="0"/>
    <n v="0"/>
    <n v="0"/>
    <n v="0"/>
  </r>
  <r>
    <s v="20191021131415p"/>
    <x v="254"/>
    <s v="pageview"/>
    <x v="4"/>
    <n v="1"/>
    <x v="5"/>
    <s v="Windows 8 Professional"/>
    <n v="1"/>
    <n v="0"/>
    <n v="0"/>
    <n v="0"/>
    <n v="0"/>
  </r>
  <r>
    <s v="20191021131415p"/>
    <x v="254"/>
    <s v="pageview"/>
    <x v="5"/>
    <n v="1"/>
    <x v="1"/>
    <s v="Windows XP (32-Bit)"/>
    <n v="1"/>
    <n v="0"/>
    <n v="0"/>
    <n v="0"/>
    <n v="0"/>
  </r>
  <r>
    <s v="20191021131415p"/>
    <x v="254"/>
    <s v="pageview"/>
    <x v="4"/>
    <n v="1"/>
    <x v="2"/>
    <s v="Windows XP (32-Bit)"/>
    <n v="1"/>
    <n v="0"/>
    <n v="0"/>
    <n v="0"/>
    <n v="0"/>
  </r>
  <r>
    <s v="20191021131415e"/>
    <x v="254"/>
    <s v="event"/>
    <x v="0"/>
    <n v="1"/>
    <x v="2"/>
    <s v="Windows XP (32-Bit)"/>
    <n v="0"/>
    <n v="1"/>
    <n v="0"/>
    <n v="0"/>
    <n v="0"/>
  </r>
  <r>
    <s v="20191021131415p"/>
    <x v="254"/>
    <s v="pageview"/>
    <x v="2"/>
    <n v="1"/>
    <x v="4"/>
    <s v="Windows 8 Professional"/>
    <n v="1"/>
    <n v="0"/>
    <n v="0"/>
    <n v="0"/>
    <n v="0"/>
  </r>
  <r>
    <s v="20191022131415p"/>
    <x v="255"/>
    <s v="pageview"/>
    <x v="2"/>
    <n v="1"/>
    <x v="0"/>
    <s v="Windows 8 Professional"/>
    <n v="1"/>
    <n v="0"/>
    <n v="0"/>
    <n v="0"/>
    <n v="0"/>
  </r>
  <r>
    <s v="20191022131415p"/>
    <x v="255"/>
    <s v="pageview"/>
    <x v="1"/>
    <n v="1"/>
    <x v="5"/>
    <s v="Windows 8 Professional"/>
    <n v="1"/>
    <n v="0"/>
    <n v="0"/>
    <n v="0"/>
    <n v="0"/>
  </r>
  <r>
    <s v="20191022131415o"/>
    <x v="255"/>
    <s v="open"/>
    <x v="2"/>
    <n v="1"/>
    <x v="1"/>
    <s v="Windows XP (32-Bit)"/>
    <n v="0"/>
    <n v="0"/>
    <n v="1"/>
    <n v="0"/>
    <n v="0"/>
  </r>
  <r>
    <s v="20191022131415e"/>
    <x v="255"/>
    <s v="event"/>
    <x v="1"/>
    <n v="1"/>
    <x v="3"/>
    <s v="Windows XP (32-Bit)"/>
    <n v="0"/>
    <n v="1"/>
    <n v="0"/>
    <n v="0"/>
    <n v="0"/>
  </r>
  <r>
    <s v="20191022131415p"/>
    <x v="255"/>
    <s v="pageview"/>
    <x v="3"/>
    <n v="1"/>
    <x v="3"/>
    <s v="Windows XP (32-Bit)"/>
    <n v="1"/>
    <n v="0"/>
    <n v="0"/>
    <n v="0"/>
    <n v="0"/>
  </r>
  <r>
    <s v="20191022131415p"/>
    <x v="255"/>
    <s v="pageview"/>
    <x v="0"/>
    <n v="1"/>
    <x v="3"/>
    <s v="Windows XP (32-Bit)"/>
    <n v="1"/>
    <n v="0"/>
    <n v="0"/>
    <n v="0"/>
    <n v="0"/>
  </r>
  <r>
    <s v="20191022131415e"/>
    <x v="255"/>
    <s v="event"/>
    <x v="5"/>
    <n v="1"/>
    <x v="4"/>
    <s v="Windows 8 Professional"/>
    <n v="0"/>
    <n v="1"/>
    <n v="0"/>
    <n v="0"/>
    <n v="0"/>
  </r>
  <r>
    <s v="20191022131415s"/>
    <x v="255"/>
    <s v="save"/>
    <x v="0"/>
    <n v="1"/>
    <x v="4"/>
    <s v="Windows 8 Professional"/>
    <n v="0"/>
    <n v="0"/>
    <n v="0"/>
    <n v="1"/>
    <n v="0"/>
  </r>
  <r>
    <s v="20191023131415p"/>
    <x v="256"/>
    <s v="pageview"/>
    <x v="4"/>
    <n v="1"/>
    <x v="1"/>
    <s v="Windows XP (32-Bit)"/>
    <n v="1"/>
    <n v="0"/>
    <n v="0"/>
    <n v="0"/>
    <n v="0"/>
  </r>
  <r>
    <s v="20191023131415e"/>
    <x v="256"/>
    <s v="event"/>
    <x v="0"/>
    <n v="1"/>
    <x v="2"/>
    <s v="Windows XP (32-Bit)"/>
    <n v="0"/>
    <n v="1"/>
    <n v="0"/>
    <n v="0"/>
    <n v="0"/>
  </r>
  <r>
    <s v="20191023131415p"/>
    <x v="256"/>
    <s v="pageview"/>
    <x v="3"/>
    <n v="1"/>
    <x v="2"/>
    <s v="Windows XP (32-Bit)"/>
    <n v="1"/>
    <n v="0"/>
    <n v="0"/>
    <n v="0"/>
    <n v="0"/>
  </r>
  <r>
    <s v="20191023131415o"/>
    <x v="256"/>
    <s v="open"/>
    <x v="5"/>
    <n v="1"/>
    <x v="3"/>
    <s v="Windows XP (32-Bit)"/>
    <n v="0"/>
    <n v="0"/>
    <n v="1"/>
    <n v="0"/>
    <n v="0"/>
  </r>
  <r>
    <s v="20191023131415p"/>
    <x v="256"/>
    <s v="pageview"/>
    <x v="0"/>
    <n v="1"/>
    <x v="3"/>
    <s v="Windows XP (32-Bit)"/>
    <n v="1"/>
    <n v="0"/>
    <n v="0"/>
    <n v="0"/>
    <n v="0"/>
  </r>
  <r>
    <s v="20191023131415p"/>
    <x v="256"/>
    <s v="pageview"/>
    <x v="5"/>
    <n v="1"/>
    <x v="3"/>
    <s v="Windows XP (32-Bit)"/>
    <n v="1"/>
    <n v="0"/>
    <n v="0"/>
    <n v="0"/>
    <n v="0"/>
  </r>
  <r>
    <s v="20191023131415p"/>
    <x v="256"/>
    <s v="pageview"/>
    <x v="5"/>
    <n v="1"/>
    <x v="4"/>
    <s v="Windows 8 Professional"/>
    <n v="1"/>
    <n v="0"/>
    <n v="0"/>
    <n v="0"/>
    <n v="0"/>
  </r>
  <r>
    <s v="20191023131415o"/>
    <x v="256"/>
    <s v="open"/>
    <x v="0"/>
    <n v="1"/>
    <x v="4"/>
    <s v="Windows 8 Professional"/>
    <n v="0"/>
    <n v="0"/>
    <n v="1"/>
    <n v="0"/>
    <n v="0"/>
  </r>
  <r>
    <s v="20191024131415o"/>
    <x v="257"/>
    <s v="open"/>
    <x v="1"/>
    <n v="1"/>
    <x v="0"/>
    <s v="Windows 8 Professional"/>
    <n v="0"/>
    <n v="0"/>
    <n v="1"/>
    <n v="0"/>
    <n v="0"/>
  </r>
  <r>
    <s v="20191024131415p"/>
    <x v="257"/>
    <s v="pageview"/>
    <x v="4"/>
    <n v="1"/>
    <x v="2"/>
    <s v="Windows XP (32-Bit)"/>
    <n v="1"/>
    <n v="0"/>
    <n v="0"/>
    <n v="0"/>
    <n v="0"/>
  </r>
  <r>
    <s v="20191024131415s"/>
    <x v="257"/>
    <s v="save"/>
    <x v="5"/>
    <n v="1"/>
    <x v="2"/>
    <s v="Windows XP (32-Bit)"/>
    <n v="0"/>
    <n v="0"/>
    <n v="0"/>
    <n v="1"/>
    <n v="0"/>
  </r>
  <r>
    <s v="20191024131415p"/>
    <x v="257"/>
    <s v="pageview"/>
    <x v="1"/>
    <n v="1"/>
    <x v="3"/>
    <s v="Windows XP (32-Bit)"/>
    <n v="1"/>
    <n v="0"/>
    <n v="0"/>
    <n v="0"/>
    <n v="0"/>
  </r>
  <r>
    <s v="20191024131415p"/>
    <x v="257"/>
    <s v="pageview"/>
    <x v="0"/>
    <n v="1"/>
    <x v="4"/>
    <s v="Windows 8 Professional"/>
    <n v="1"/>
    <n v="0"/>
    <n v="0"/>
    <n v="0"/>
    <n v="0"/>
  </r>
  <r>
    <s v="20191025131415p"/>
    <x v="258"/>
    <s v="pageview"/>
    <x v="3"/>
    <n v="1"/>
    <x v="0"/>
    <s v="Windows 8 Professional"/>
    <n v="1"/>
    <n v="0"/>
    <n v="0"/>
    <n v="0"/>
    <n v="0"/>
  </r>
  <r>
    <s v="20191025131415p"/>
    <x v="258"/>
    <s v="pageview"/>
    <x v="3"/>
    <n v="1"/>
    <x v="5"/>
    <s v="Windows 8 Professional"/>
    <n v="1"/>
    <n v="0"/>
    <n v="0"/>
    <n v="0"/>
    <n v="0"/>
  </r>
  <r>
    <s v="20191025131415p"/>
    <x v="258"/>
    <s v="pageview"/>
    <x v="2"/>
    <n v="1"/>
    <x v="1"/>
    <s v="Windows XP (32-Bit)"/>
    <n v="1"/>
    <n v="0"/>
    <n v="0"/>
    <n v="0"/>
    <n v="0"/>
  </r>
  <r>
    <s v="20191025131415p"/>
    <x v="258"/>
    <s v="pageview"/>
    <x v="4"/>
    <n v="1"/>
    <x v="2"/>
    <s v="Windows XP (32-Bit)"/>
    <n v="1"/>
    <n v="0"/>
    <n v="0"/>
    <n v="0"/>
    <n v="0"/>
  </r>
  <r>
    <s v="20191025131415p"/>
    <x v="258"/>
    <s v="pageview"/>
    <x v="3"/>
    <n v="1"/>
    <x v="2"/>
    <s v="Windows XP (32-Bit)"/>
    <n v="1"/>
    <n v="0"/>
    <n v="0"/>
    <n v="0"/>
    <n v="0"/>
  </r>
  <r>
    <s v="20191025131415p"/>
    <x v="258"/>
    <s v="pageview"/>
    <x v="1"/>
    <n v="1"/>
    <x v="3"/>
    <s v="Windows XP (32-Bit)"/>
    <n v="1"/>
    <n v="0"/>
    <n v="0"/>
    <n v="0"/>
    <n v="0"/>
  </r>
  <r>
    <s v="20191025131415s"/>
    <x v="258"/>
    <s v="save"/>
    <x v="5"/>
    <n v="1"/>
    <x v="4"/>
    <s v="Windows 8 Professional"/>
    <n v="0"/>
    <n v="0"/>
    <n v="0"/>
    <n v="1"/>
    <n v="0"/>
  </r>
  <r>
    <s v="20191025131415p"/>
    <x v="258"/>
    <s v="pageview"/>
    <x v="5"/>
    <n v="1"/>
    <x v="4"/>
    <s v="Windows 8 Professional"/>
    <n v="1"/>
    <n v="0"/>
    <n v="0"/>
    <n v="0"/>
    <n v="0"/>
  </r>
  <r>
    <s v="20191026131415p"/>
    <x v="259"/>
    <s v="pageview"/>
    <x v="3"/>
    <n v="1"/>
    <x v="0"/>
    <s v="Windows 8 Professional"/>
    <n v="1"/>
    <n v="0"/>
    <n v="0"/>
    <n v="0"/>
    <n v="0"/>
  </r>
  <r>
    <s v="20191026131415p"/>
    <x v="259"/>
    <s v="pageview"/>
    <x v="4"/>
    <n v="1"/>
    <x v="0"/>
    <s v="Windows 8 Professional"/>
    <n v="1"/>
    <n v="0"/>
    <n v="0"/>
    <n v="0"/>
    <n v="0"/>
  </r>
  <r>
    <s v="20191026131415e"/>
    <x v="259"/>
    <s v="event"/>
    <x v="0"/>
    <n v="1"/>
    <x v="5"/>
    <s v="Windows 8 Professional"/>
    <n v="0"/>
    <n v="1"/>
    <n v="0"/>
    <n v="0"/>
    <n v="0"/>
  </r>
  <r>
    <s v="20191026131415s"/>
    <x v="259"/>
    <s v="save"/>
    <x v="5"/>
    <n v="1"/>
    <x v="5"/>
    <s v="Windows 8 Professional"/>
    <n v="0"/>
    <n v="0"/>
    <n v="0"/>
    <n v="1"/>
    <n v="0"/>
  </r>
  <r>
    <s v="20191026131415p"/>
    <x v="259"/>
    <s v="pageview"/>
    <x v="0"/>
    <n v="1"/>
    <x v="1"/>
    <s v="Windows XP (32-Bit)"/>
    <n v="1"/>
    <n v="0"/>
    <n v="0"/>
    <n v="0"/>
    <n v="0"/>
  </r>
  <r>
    <s v="20191026131415p"/>
    <x v="259"/>
    <s v="pageview"/>
    <x v="4"/>
    <n v="1"/>
    <x v="1"/>
    <s v="Windows XP (32-Bit)"/>
    <n v="1"/>
    <n v="0"/>
    <n v="0"/>
    <n v="0"/>
    <n v="0"/>
  </r>
  <r>
    <s v="20191026131415s"/>
    <x v="259"/>
    <s v="save"/>
    <x v="2"/>
    <n v="1"/>
    <x v="2"/>
    <s v="Windows XP (32-Bit)"/>
    <n v="0"/>
    <n v="0"/>
    <n v="0"/>
    <n v="1"/>
    <n v="0"/>
  </r>
  <r>
    <s v="20191026131415p"/>
    <x v="259"/>
    <s v="pageview"/>
    <x v="4"/>
    <n v="1"/>
    <x v="2"/>
    <s v="Windows XP (32-Bit)"/>
    <n v="1"/>
    <n v="0"/>
    <n v="0"/>
    <n v="0"/>
    <n v="0"/>
  </r>
  <r>
    <s v="20191026131415p"/>
    <x v="259"/>
    <s v="pageview"/>
    <x v="1"/>
    <n v="1"/>
    <x v="2"/>
    <s v="Windows XP (32-Bit)"/>
    <n v="1"/>
    <n v="0"/>
    <n v="0"/>
    <n v="0"/>
    <n v="0"/>
  </r>
  <r>
    <s v="20191026131415e"/>
    <x v="259"/>
    <s v="event"/>
    <x v="1"/>
    <n v="1"/>
    <x v="2"/>
    <s v="Windows XP (32-Bit)"/>
    <n v="0"/>
    <n v="1"/>
    <n v="0"/>
    <n v="0"/>
    <n v="0"/>
  </r>
  <r>
    <s v="20191026131415e"/>
    <x v="259"/>
    <s v="event"/>
    <x v="3"/>
    <n v="1"/>
    <x v="3"/>
    <s v="Windows XP (32-Bit)"/>
    <n v="0"/>
    <n v="1"/>
    <n v="0"/>
    <n v="0"/>
    <n v="0"/>
  </r>
  <r>
    <s v="20191026131415s"/>
    <x v="259"/>
    <s v="save"/>
    <x v="5"/>
    <n v="1"/>
    <x v="3"/>
    <s v="Windows XP (32-Bit)"/>
    <n v="0"/>
    <n v="0"/>
    <n v="0"/>
    <n v="1"/>
    <n v="0"/>
  </r>
  <r>
    <s v="20191026131415p"/>
    <x v="259"/>
    <s v="pageview"/>
    <x v="1"/>
    <n v="1"/>
    <x v="3"/>
    <s v="Windows XP (32-Bit)"/>
    <n v="1"/>
    <n v="0"/>
    <n v="0"/>
    <n v="0"/>
    <n v="0"/>
  </r>
  <r>
    <s v="20191026131415p"/>
    <x v="259"/>
    <s v="pageview"/>
    <x v="2"/>
    <n v="1"/>
    <x v="3"/>
    <s v="Windows XP (32-Bit)"/>
    <n v="1"/>
    <n v="0"/>
    <n v="0"/>
    <n v="0"/>
    <n v="0"/>
  </r>
  <r>
    <s v="20191026131415p"/>
    <x v="259"/>
    <s v="pageview"/>
    <x v="4"/>
    <n v="1"/>
    <x v="3"/>
    <s v="Windows XP (32-Bit)"/>
    <n v="1"/>
    <n v="0"/>
    <n v="0"/>
    <n v="0"/>
    <n v="0"/>
  </r>
  <r>
    <s v="20191026131415p"/>
    <x v="259"/>
    <s v="pageview"/>
    <x v="2"/>
    <n v="1"/>
    <x v="3"/>
    <s v="Windows XP (32-Bit)"/>
    <n v="1"/>
    <n v="0"/>
    <n v="0"/>
    <n v="0"/>
    <n v="0"/>
  </r>
  <r>
    <s v="20191026131415p"/>
    <x v="259"/>
    <s v="pageview"/>
    <x v="2"/>
    <n v="1"/>
    <x v="4"/>
    <s v="Windows 8 Professional"/>
    <n v="1"/>
    <n v="0"/>
    <n v="0"/>
    <n v="0"/>
    <n v="0"/>
  </r>
  <r>
    <s v="20191026131415p"/>
    <x v="259"/>
    <s v="pageview"/>
    <x v="3"/>
    <n v="1"/>
    <x v="4"/>
    <s v="Windows 8 Professional"/>
    <n v="1"/>
    <n v="0"/>
    <n v="0"/>
    <n v="0"/>
    <n v="0"/>
  </r>
  <r>
    <s v="20191026131415p"/>
    <x v="259"/>
    <s v="pageview"/>
    <x v="1"/>
    <n v="1"/>
    <x v="4"/>
    <s v="Windows 8 Professional"/>
    <n v="1"/>
    <n v="0"/>
    <n v="0"/>
    <n v="0"/>
    <n v="0"/>
  </r>
  <r>
    <s v="20191026131415p"/>
    <x v="259"/>
    <s v="pageview"/>
    <x v="4"/>
    <n v="1"/>
    <x v="4"/>
    <s v="Windows 8 Professional"/>
    <n v="1"/>
    <n v="0"/>
    <n v="0"/>
    <n v="0"/>
    <n v="0"/>
  </r>
  <r>
    <s v="20191027131415p"/>
    <x v="260"/>
    <s v="pageview"/>
    <x v="5"/>
    <n v="1"/>
    <x v="0"/>
    <s v="Windows 8 Professional"/>
    <n v="1"/>
    <n v="0"/>
    <n v="0"/>
    <n v="0"/>
    <n v="0"/>
  </r>
  <r>
    <s v="20191027131415e"/>
    <x v="260"/>
    <s v="event"/>
    <x v="0"/>
    <n v="1"/>
    <x v="0"/>
    <s v="Windows 8 Professional"/>
    <n v="0"/>
    <n v="1"/>
    <n v="0"/>
    <n v="0"/>
    <n v="0"/>
  </r>
  <r>
    <s v="20191027131415p"/>
    <x v="260"/>
    <s v="pageview"/>
    <x v="5"/>
    <n v="1"/>
    <x v="5"/>
    <s v="Windows 8 Professional"/>
    <n v="1"/>
    <n v="0"/>
    <n v="0"/>
    <n v="0"/>
    <n v="0"/>
  </r>
  <r>
    <s v="20191027131415p"/>
    <x v="260"/>
    <s v="pageview"/>
    <x v="0"/>
    <n v="1"/>
    <x v="5"/>
    <s v="Windows 8 Professional"/>
    <n v="1"/>
    <n v="0"/>
    <n v="0"/>
    <n v="0"/>
    <n v="0"/>
  </r>
  <r>
    <s v="20191027131415p"/>
    <x v="260"/>
    <s v="pageview"/>
    <x v="0"/>
    <n v="1"/>
    <x v="3"/>
    <s v="Windows XP (32-Bit)"/>
    <n v="1"/>
    <n v="0"/>
    <n v="0"/>
    <n v="0"/>
    <n v="0"/>
  </r>
  <r>
    <s v="20191027131415p"/>
    <x v="260"/>
    <s v="pageview"/>
    <x v="1"/>
    <n v="1"/>
    <x v="3"/>
    <s v="Windows XP (32-Bit)"/>
    <n v="1"/>
    <n v="0"/>
    <n v="0"/>
    <n v="0"/>
    <n v="0"/>
  </r>
  <r>
    <s v="20191027131415p"/>
    <x v="260"/>
    <s v="pageview"/>
    <x v="0"/>
    <n v="1"/>
    <x v="3"/>
    <s v="Windows XP (32-Bit)"/>
    <n v="1"/>
    <n v="0"/>
    <n v="0"/>
    <n v="0"/>
    <n v="0"/>
  </r>
  <r>
    <s v="20191027131415p"/>
    <x v="260"/>
    <s v="pageview"/>
    <x v="0"/>
    <n v="1"/>
    <x v="4"/>
    <s v="Windows 8 Professional"/>
    <n v="1"/>
    <n v="0"/>
    <n v="0"/>
    <n v="0"/>
    <n v="0"/>
  </r>
  <r>
    <s v="20191028131415e"/>
    <x v="261"/>
    <s v="event"/>
    <x v="1"/>
    <n v="1"/>
    <x v="0"/>
    <s v="Windows 8 Professional"/>
    <n v="0"/>
    <n v="1"/>
    <n v="0"/>
    <n v="0"/>
    <n v="0"/>
  </r>
  <r>
    <s v="20191028131415e"/>
    <x v="261"/>
    <s v="event"/>
    <x v="0"/>
    <n v="1"/>
    <x v="0"/>
    <s v="Windows 8 Professional"/>
    <n v="0"/>
    <n v="1"/>
    <n v="0"/>
    <n v="0"/>
    <n v="0"/>
  </r>
  <r>
    <s v="20191028131415e"/>
    <x v="261"/>
    <s v="event"/>
    <x v="4"/>
    <n v="1"/>
    <x v="5"/>
    <s v="Windows 8 Professional"/>
    <n v="0"/>
    <n v="1"/>
    <n v="0"/>
    <n v="0"/>
    <n v="0"/>
  </r>
  <r>
    <s v="20191028131415p"/>
    <x v="261"/>
    <s v="pageview"/>
    <x v="5"/>
    <n v="1"/>
    <x v="5"/>
    <s v="Windows 8 Professional"/>
    <n v="1"/>
    <n v="0"/>
    <n v="0"/>
    <n v="0"/>
    <n v="0"/>
  </r>
  <r>
    <s v="20191028131415p"/>
    <x v="261"/>
    <s v="pageview"/>
    <x v="1"/>
    <n v="1"/>
    <x v="1"/>
    <s v="Windows XP (32-Bit)"/>
    <n v="1"/>
    <n v="0"/>
    <n v="0"/>
    <n v="0"/>
    <n v="0"/>
  </r>
  <r>
    <s v="20191028131415p"/>
    <x v="261"/>
    <s v="pageview"/>
    <x v="4"/>
    <n v="1"/>
    <x v="1"/>
    <s v="Windows XP (32-Bit)"/>
    <n v="1"/>
    <n v="0"/>
    <n v="0"/>
    <n v="0"/>
    <n v="0"/>
  </r>
  <r>
    <s v="20191028131415p"/>
    <x v="261"/>
    <s v="pageview"/>
    <x v="2"/>
    <n v="1"/>
    <x v="2"/>
    <s v="Windows XP (32-Bit)"/>
    <n v="1"/>
    <n v="0"/>
    <n v="0"/>
    <n v="0"/>
    <n v="0"/>
  </r>
  <r>
    <s v="20191028131415e"/>
    <x v="261"/>
    <s v="event"/>
    <x v="2"/>
    <n v="1"/>
    <x v="2"/>
    <s v="Windows XP (32-Bit)"/>
    <n v="0"/>
    <n v="1"/>
    <n v="0"/>
    <n v="0"/>
    <n v="0"/>
  </r>
  <r>
    <s v="20191028131415o"/>
    <x v="261"/>
    <s v="open"/>
    <x v="5"/>
    <n v="1"/>
    <x v="4"/>
    <s v="Windows 8 Professional"/>
    <n v="0"/>
    <n v="0"/>
    <n v="1"/>
    <n v="0"/>
    <n v="0"/>
  </r>
  <r>
    <s v="20191029131415p"/>
    <x v="262"/>
    <s v="pageview"/>
    <x v="4"/>
    <n v="1"/>
    <x v="0"/>
    <s v="Windows 8 Professional"/>
    <n v="1"/>
    <n v="0"/>
    <n v="0"/>
    <n v="0"/>
    <n v="0"/>
  </r>
  <r>
    <s v="20191029131415p"/>
    <x v="262"/>
    <s v="pageview"/>
    <x v="3"/>
    <n v="1"/>
    <x v="0"/>
    <s v="Windows 8 Professional"/>
    <n v="1"/>
    <n v="0"/>
    <n v="0"/>
    <n v="0"/>
    <n v="0"/>
  </r>
  <r>
    <s v="20191029131415p"/>
    <x v="262"/>
    <s v="pageview"/>
    <x v="1"/>
    <n v="1"/>
    <x v="1"/>
    <s v="Windows XP (32-Bit)"/>
    <n v="1"/>
    <n v="0"/>
    <n v="0"/>
    <n v="0"/>
    <n v="0"/>
  </r>
  <r>
    <s v="20191029131415p"/>
    <x v="262"/>
    <s v="pageview"/>
    <x v="5"/>
    <n v="1"/>
    <x v="2"/>
    <s v="Windows XP (32-Bit)"/>
    <n v="1"/>
    <n v="0"/>
    <n v="0"/>
    <n v="0"/>
    <n v="0"/>
  </r>
  <r>
    <s v="20191029131415e"/>
    <x v="262"/>
    <s v="event"/>
    <x v="5"/>
    <n v="1"/>
    <x v="2"/>
    <s v="Windows XP (32-Bit)"/>
    <n v="0"/>
    <n v="1"/>
    <n v="0"/>
    <n v="0"/>
    <n v="0"/>
  </r>
  <r>
    <s v="20191029131415p"/>
    <x v="262"/>
    <s v="pageview"/>
    <x v="1"/>
    <n v="1"/>
    <x v="3"/>
    <s v="Windows XP (32-Bit)"/>
    <n v="1"/>
    <n v="0"/>
    <n v="0"/>
    <n v="0"/>
    <n v="0"/>
  </r>
  <r>
    <s v="20191029131415p"/>
    <x v="262"/>
    <s v="pageview"/>
    <x v="2"/>
    <n v="1"/>
    <x v="4"/>
    <s v="Windows 8 Professional"/>
    <n v="1"/>
    <n v="0"/>
    <n v="0"/>
    <n v="0"/>
    <n v="0"/>
  </r>
  <r>
    <s v="20191030131415o"/>
    <x v="263"/>
    <s v="open"/>
    <x v="3"/>
    <n v="1"/>
    <x v="0"/>
    <s v="Windows 8 Professional"/>
    <n v="0"/>
    <n v="0"/>
    <n v="1"/>
    <n v="0"/>
    <n v="0"/>
  </r>
  <r>
    <s v="20191030131415p"/>
    <x v="263"/>
    <s v="pageview"/>
    <x v="5"/>
    <n v="1"/>
    <x v="5"/>
    <s v="Windows 8 Professional"/>
    <n v="1"/>
    <n v="0"/>
    <n v="0"/>
    <n v="0"/>
    <n v="0"/>
  </r>
  <r>
    <s v="20191030131415p"/>
    <x v="263"/>
    <s v="pageview"/>
    <x v="1"/>
    <n v="1"/>
    <x v="1"/>
    <s v="Windows XP (32-Bit)"/>
    <n v="1"/>
    <n v="0"/>
    <n v="0"/>
    <n v="0"/>
    <n v="0"/>
  </r>
  <r>
    <s v="20191030131415e"/>
    <x v="263"/>
    <s v="event"/>
    <x v="5"/>
    <n v="1"/>
    <x v="1"/>
    <s v="Windows XP (32-Bit)"/>
    <n v="0"/>
    <n v="1"/>
    <n v="0"/>
    <n v="0"/>
    <n v="0"/>
  </r>
  <r>
    <s v="20191030131415s"/>
    <x v="263"/>
    <s v="save"/>
    <x v="0"/>
    <n v="1"/>
    <x v="1"/>
    <s v="Windows XP (32-Bit)"/>
    <n v="0"/>
    <n v="0"/>
    <n v="0"/>
    <n v="1"/>
    <n v="0"/>
  </r>
  <r>
    <s v="20191030131415p"/>
    <x v="263"/>
    <s v="pageview"/>
    <x v="0"/>
    <n v="1"/>
    <x v="1"/>
    <s v="Windows XP (32-Bit)"/>
    <n v="1"/>
    <n v="0"/>
    <n v="0"/>
    <n v="0"/>
    <n v="0"/>
  </r>
  <r>
    <s v="20191030131415p"/>
    <x v="263"/>
    <s v="pageview"/>
    <x v="4"/>
    <n v="1"/>
    <x v="2"/>
    <s v="Windows XP (32-Bit)"/>
    <n v="1"/>
    <n v="0"/>
    <n v="0"/>
    <n v="0"/>
    <n v="0"/>
  </r>
  <r>
    <s v="20191030131415p"/>
    <x v="263"/>
    <s v="pageview"/>
    <x v="0"/>
    <n v="1"/>
    <x v="2"/>
    <s v="Windows XP (32-Bit)"/>
    <n v="1"/>
    <n v="0"/>
    <n v="0"/>
    <n v="0"/>
    <n v="0"/>
  </r>
  <r>
    <s v="20191030131415p"/>
    <x v="263"/>
    <s v="pageview"/>
    <x v="1"/>
    <n v="1"/>
    <x v="2"/>
    <s v="Windows XP (32-Bit)"/>
    <n v="1"/>
    <n v="0"/>
    <n v="0"/>
    <n v="0"/>
    <n v="0"/>
  </r>
  <r>
    <s v="20191030131415e"/>
    <x v="263"/>
    <s v="event"/>
    <x v="2"/>
    <n v="1"/>
    <x v="2"/>
    <s v="Windows XP (32-Bit)"/>
    <n v="0"/>
    <n v="1"/>
    <n v="0"/>
    <n v="0"/>
    <n v="0"/>
  </r>
  <r>
    <s v="20191030131415p"/>
    <x v="263"/>
    <s v="pageview"/>
    <x v="0"/>
    <n v="1"/>
    <x v="3"/>
    <s v="Windows XP (32-Bit)"/>
    <n v="1"/>
    <n v="0"/>
    <n v="0"/>
    <n v="0"/>
    <n v="0"/>
  </r>
  <r>
    <s v="20191030131415e"/>
    <x v="263"/>
    <s v="event"/>
    <x v="3"/>
    <n v="1"/>
    <x v="3"/>
    <s v="Windows XP (32-Bit)"/>
    <n v="0"/>
    <n v="1"/>
    <n v="0"/>
    <n v="0"/>
    <n v="0"/>
  </r>
  <r>
    <s v="20191030131415p"/>
    <x v="263"/>
    <s v="pageview"/>
    <x v="3"/>
    <n v="1"/>
    <x v="3"/>
    <s v="Windows XP (32-Bit)"/>
    <n v="1"/>
    <n v="0"/>
    <n v="0"/>
    <n v="0"/>
    <n v="0"/>
  </r>
  <r>
    <s v="20191030131415p"/>
    <x v="263"/>
    <s v="pageview"/>
    <x v="0"/>
    <n v="1"/>
    <x v="4"/>
    <s v="Windows 8 Professional"/>
    <n v="1"/>
    <n v="0"/>
    <n v="0"/>
    <n v="0"/>
    <n v="0"/>
  </r>
  <r>
    <s v="20191014130000s"/>
    <x v="264"/>
    <s v="save"/>
    <x v="12"/>
    <n v="1"/>
    <x v="7"/>
    <s v="Windows (32-bit) NT 10.00"/>
    <n v="0"/>
    <n v="0"/>
    <n v="0"/>
    <n v="1"/>
    <n v="0"/>
  </r>
  <r>
    <s v="20191014130003p"/>
    <x v="265"/>
    <s v="pageview"/>
    <x v="5"/>
    <n v="1"/>
    <x v="7"/>
    <s v="Windows (32-bit) NT 10.00"/>
    <n v="1"/>
    <n v="0"/>
    <n v="0"/>
    <n v="0"/>
    <n v="0"/>
  </r>
  <r>
    <s v="20191014130007s"/>
    <x v="266"/>
    <s v="save"/>
    <x v="5"/>
    <n v="1"/>
    <x v="7"/>
    <s v="Windows (32-bit) NT 10.00"/>
    <n v="0"/>
    <n v="0"/>
    <n v="0"/>
    <n v="1"/>
    <n v="0"/>
  </r>
  <r>
    <s v="20191014132322o"/>
    <x v="267"/>
    <s v="open"/>
    <x v="5"/>
    <n v="1"/>
    <x v="7"/>
    <s v="Windows (32-bit) NT 10.00"/>
    <n v="0"/>
    <n v="0"/>
    <n v="1"/>
    <n v="0"/>
    <n v="0"/>
  </r>
  <r>
    <s v="20191014132930s"/>
    <x v="268"/>
    <s v="save"/>
    <x v="5"/>
    <n v="1"/>
    <x v="7"/>
    <s v="Windows (32-bit) NT 10.00"/>
    <n v="0"/>
    <n v="0"/>
    <n v="0"/>
    <n v="1"/>
    <n v="0"/>
  </r>
  <r>
    <s v="20191014134134s"/>
    <x v="269"/>
    <s v="save"/>
    <x v="5"/>
    <n v="1"/>
    <x v="7"/>
    <s v="Windows (32-bit) NT 10.00"/>
    <n v="0"/>
    <n v="0"/>
    <n v="0"/>
    <n v="1"/>
    <n v="0"/>
  </r>
  <r>
    <s v="20191014134240s"/>
    <x v="270"/>
    <s v="save"/>
    <x v="5"/>
    <n v="1"/>
    <x v="7"/>
    <s v="Windows (32-bit) NT 10.00"/>
    <n v="0"/>
    <n v="0"/>
    <n v="0"/>
    <n v="1"/>
    <n v="0"/>
  </r>
  <r>
    <s v="20191014134338s"/>
    <x v="271"/>
    <s v="save"/>
    <x v="5"/>
    <n v="1"/>
    <x v="7"/>
    <s v="Windows (32-bit) NT 10.00"/>
    <n v="0"/>
    <n v="0"/>
    <n v="0"/>
    <n v="1"/>
    <n v="0"/>
  </r>
  <r>
    <s v="20191014134343n"/>
    <x v="272"/>
    <s v="newpage"/>
    <x v="13"/>
    <n v="1"/>
    <x v="7"/>
    <s v="Windows (32-bit) NT 10.00"/>
    <n v="0"/>
    <n v="0"/>
    <n v="0"/>
    <n v="0"/>
    <n v="0"/>
  </r>
  <r>
    <s v="20191014134350p"/>
    <x v="273"/>
    <s v="pageview"/>
    <x v="5"/>
    <n v="1"/>
    <x v="7"/>
    <s v="Windows (32-bit) NT 10.00"/>
    <n v="1"/>
    <n v="0"/>
    <n v="0"/>
    <n v="0"/>
    <n v="0"/>
  </r>
  <r>
    <s v="20191014134355n"/>
    <x v="274"/>
    <s v="newpage"/>
    <x v="14"/>
    <n v="1"/>
    <x v="7"/>
    <s v="Windows (32-bit) NT 10.00"/>
    <n v="0"/>
    <n v="0"/>
    <n v="0"/>
    <n v="0"/>
    <n v="0"/>
  </r>
  <r>
    <s v="20191014134402p"/>
    <x v="275"/>
    <s v="pageview"/>
    <x v="5"/>
    <n v="1"/>
    <x v="7"/>
    <s v="Windows (32-bit) NT 10.00"/>
    <n v="1"/>
    <n v="0"/>
    <n v="0"/>
    <n v="0"/>
    <n v="0"/>
  </r>
  <r>
    <s v="20191014134413n"/>
    <x v="276"/>
    <s v="newpage"/>
    <x v="2"/>
    <n v="1"/>
    <x v="7"/>
    <s v="Windows (32-bit) NT 10.00"/>
    <n v="0"/>
    <n v="0"/>
    <n v="0"/>
    <n v="0"/>
    <n v="0"/>
  </r>
  <r>
    <s v="20191014134413p"/>
    <x v="276"/>
    <s v="pageview"/>
    <x v="2"/>
    <n v="1"/>
    <x v="7"/>
    <s v="Windows (32-bit) NT 10.00"/>
    <n v="1"/>
    <n v="0"/>
    <n v="0"/>
    <n v="0"/>
    <n v="0"/>
  </r>
  <r>
    <s v="20191014140202s"/>
    <x v="277"/>
    <s v="save"/>
    <x v="2"/>
    <n v="1"/>
    <x v="7"/>
    <s v="Windows (32-bit) NT 10.00"/>
    <n v="0"/>
    <n v="0"/>
    <n v="0"/>
    <n v="1"/>
    <n v="0"/>
  </r>
  <r>
    <s v="20191014140220s"/>
    <x v="278"/>
    <s v="save"/>
    <x v="2"/>
    <n v="1"/>
    <x v="7"/>
    <s v="Windows (32-bit) NT 10.00"/>
    <n v="0"/>
    <n v="0"/>
    <n v="0"/>
    <n v="1"/>
    <n v="0"/>
  </r>
  <r>
    <s v="20191014140239s"/>
    <x v="279"/>
    <s v="save"/>
    <x v="2"/>
    <n v="1"/>
    <x v="7"/>
    <s v="Windows (32-bit) NT 10.00"/>
    <n v="0"/>
    <n v="0"/>
    <n v="0"/>
    <n v="1"/>
    <n v="0"/>
  </r>
  <r>
    <s v="20191014140306s"/>
    <x v="280"/>
    <s v="save"/>
    <x v="2"/>
    <n v="1"/>
    <x v="7"/>
    <s v="Windows (32-bit) NT 10.00"/>
    <n v="0"/>
    <n v="0"/>
    <n v="0"/>
    <n v="1"/>
    <n v="0"/>
  </r>
  <r>
    <s v="20191014140401p"/>
    <x v="281"/>
    <s v="pageview"/>
    <x v="11"/>
    <n v="1"/>
    <x v="7"/>
    <s v="Windows (32-bit) NT 10.00"/>
    <n v="1"/>
    <n v="0"/>
    <n v="0"/>
    <n v="0"/>
    <n v="0"/>
  </r>
  <r>
    <s v="20191014140403p"/>
    <x v="282"/>
    <s v="pageview"/>
    <x v="8"/>
    <n v="1"/>
    <x v="7"/>
    <s v="Windows (32-bit) NT 10.00"/>
    <n v="1"/>
    <n v="0"/>
    <n v="0"/>
    <n v="0"/>
    <n v="0"/>
  </r>
  <r>
    <s v="20191014140406p"/>
    <x v="283"/>
    <s v="pageview"/>
    <x v="12"/>
    <n v="1"/>
    <x v="7"/>
    <s v="Windows (32-bit) NT 10.00"/>
    <n v="1"/>
    <n v="0"/>
    <n v="0"/>
    <n v="0"/>
    <n v="0"/>
  </r>
  <r>
    <s v="20191014190418s"/>
    <x v="284"/>
    <s v="save"/>
    <x v="12"/>
    <n v="1"/>
    <x v="7"/>
    <s v="Windows (32-bit) NT 10.00"/>
    <n v="0"/>
    <n v="0"/>
    <n v="0"/>
    <n v="1"/>
    <n v="0"/>
  </r>
  <r>
    <s v="20191015130313o"/>
    <x v="285"/>
    <s v="open"/>
    <x v="12"/>
    <n v="1"/>
    <x v="7"/>
    <s v="Windows (32-bit) NT 10.00"/>
    <n v="0"/>
    <n v="0"/>
    <n v="1"/>
    <n v="0"/>
    <n v="0"/>
  </r>
  <r>
    <s v="20191015130500s"/>
    <x v="286"/>
    <s v="save"/>
    <x v="12"/>
    <n v="1"/>
    <x v="7"/>
    <s v="Windows (32-bit) NT 10.00"/>
    <n v="0"/>
    <n v="0"/>
    <n v="0"/>
    <n v="1"/>
    <n v="0"/>
  </r>
  <r>
    <s v="20191015130522s"/>
    <x v="287"/>
    <s v="save"/>
    <x v="12"/>
    <n v="1"/>
    <x v="7"/>
    <s v="Windows (32-bit) NT 10.00"/>
    <n v="0"/>
    <n v="0"/>
    <n v="0"/>
    <n v="1"/>
    <n v="0"/>
  </r>
  <r>
    <s v="20191015130535s"/>
    <x v="288"/>
    <s v="save"/>
    <x v="12"/>
    <n v="1"/>
    <x v="7"/>
    <s v="Windows (32-bit) NT 10.00"/>
    <n v="0"/>
    <n v="0"/>
    <n v="0"/>
    <n v="1"/>
    <n v="0"/>
  </r>
  <r>
    <s v="20191015130608s"/>
    <x v="289"/>
    <s v="save"/>
    <x v="12"/>
    <n v="1"/>
    <x v="7"/>
    <s v="Windows (32-bit) NT 10.00"/>
    <n v="0"/>
    <n v="0"/>
    <n v="0"/>
    <n v="1"/>
    <n v="0"/>
  </r>
  <r>
    <s v="20191015130701n"/>
    <x v="290"/>
    <s v="newpage"/>
    <x v="2"/>
    <n v="1"/>
    <x v="7"/>
    <s v="Windows (32-bit) NT 10.00"/>
    <n v="0"/>
    <n v="0"/>
    <n v="0"/>
    <n v="0"/>
    <n v="1"/>
  </r>
  <r>
    <s v="20191015130701p"/>
    <x v="290"/>
    <s v="pageview"/>
    <x v="2"/>
    <n v="1"/>
    <x v="7"/>
    <s v="Windows (32-bit) NT 10.00"/>
    <n v="1"/>
    <n v="0"/>
    <n v="0"/>
    <n v="0"/>
    <n v="0"/>
  </r>
  <r>
    <s v="20191015130703p"/>
    <x v="291"/>
    <s v="pageview"/>
    <x v="12"/>
    <n v="1"/>
    <x v="7"/>
    <s v="Windows (32-bit) NT 10.00"/>
    <n v="1"/>
    <n v="0"/>
    <n v="0"/>
    <n v="0"/>
    <n v="0"/>
  </r>
  <r>
    <s v="20191015130715p"/>
    <x v="292"/>
    <s v="pageview"/>
    <x v="2"/>
    <n v="1"/>
    <x v="7"/>
    <s v="Windows (32-bit) NT 10.00"/>
    <n v="1"/>
    <n v="0"/>
    <n v="0"/>
    <n v="0"/>
    <n v="0"/>
  </r>
  <r>
    <s v="20191015130718p"/>
    <x v="293"/>
    <s v="pageview"/>
    <x v="8"/>
    <n v="1"/>
    <x v="7"/>
    <s v="Windows (32-bit) NT 10.00"/>
    <n v="1"/>
    <n v="0"/>
    <n v="0"/>
    <n v="0"/>
    <n v="0"/>
  </r>
  <r>
    <s v="20191015130719p"/>
    <x v="294"/>
    <s v="pageview"/>
    <x v="11"/>
    <n v="1"/>
    <x v="7"/>
    <s v="Windows (32-bit) NT 10.00"/>
    <n v="1"/>
    <n v="0"/>
    <n v="0"/>
    <n v="0"/>
    <n v="0"/>
  </r>
  <r>
    <m/>
    <x v="295"/>
    <m/>
    <x v="15"/>
    <m/>
    <x v="8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B0B5CB-6ED6-47C3-A1A6-D4356E5928D8}" name="PivotTable1" cacheId="4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A3:B20" firstHeaderRow="1" firstDataRow="1" firstDataCol="1" rowPageCount="1" colPageCount="1"/>
  <pivotFields count="12">
    <pivotField showAll="0"/>
    <pivotField axis="axisPage" showAll="0">
      <items count="297"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295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1"/>
        <item x="82"/>
        <item x="83"/>
        <item x="84"/>
        <item x="85"/>
        <item x="106"/>
        <item x="107"/>
        <item x="156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39"/>
        <item x="240"/>
        <item x="241"/>
        <item x="242"/>
        <item x="243"/>
        <item x="244"/>
        <item x="245"/>
        <item x="246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t="default"/>
      </items>
    </pivotField>
    <pivotField showAll="0"/>
    <pivotField axis="axisRow" showAll="0" sortType="descending">
      <items count="17">
        <item x="6"/>
        <item x="3"/>
        <item x="5"/>
        <item x="7"/>
        <item x="2"/>
        <item x="0"/>
        <item x="15"/>
        <item x="8"/>
        <item x="9"/>
        <item x="10"/>
        <item x="11"/>
        <item x="12"/>
        <item x="1"/>
        <item x="4"/>
        <item x="13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3"/>
  </rowFields>
  <rowItems count="17">
    <i>
      <x v="1"/>
    </i>
    <i>
      <x v="4"/>
    </i>
    <i>
      <x v="2"/>
    </i>
    <i>
      <x v="5"/>
    </i>
    <i>
      <x v="13"/>
    </i>
    <i>
      <x v="12"/>
    </i>
    <i>
      <x/>
    </i>
    <i>
      <x v="7"/>
    </i>
    <i>
      <x v="11"/>
    </i>
    <i>
      <x v="9"/>
    </i>
    <i>
      <x v="10"/>
    </i>
    <i>
      <x v="3"/>
    </i>
    <i>
      <x v="8"/>
    </i>
    <i>
      <x v="14"/>
    </i>
    <i>
      <x v="15"/>
    </i>
    <i>
      <x v="6"/>
    </i>
    <i t="grand">
      <x/>
    </i>
  </rowItems>
  <colItems count="1">
    <i/>
  </colItems>
  <pageFields count="1">
    <pageField fld="1" hier="-1"/>
  </pageFields>
  <dataFields count="1">
    <dataField name="Summe von pageviews" fld="7" baseField="0" baseItem="0"/>
  </dataFields>
  <formats count="1">
    <format dxfId="5">
      <pivotArea dataOnly="0" labelOnly="1" outline="0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70CF27-2D50-4A48-8DD8-DEAB12E2E2AE}" name="PivotTable2" cacheId="4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A1:B11" firstHeaderRow="1" firstDataRow="1" firstDataCol="1"/>
  <pivotFields count="12">
    <pivotField showAll="0"/>
    <pivotField dataField="1" showAll="0"/>
    <pivotField showAll="0"/>
    <pivotField showAll="0"/>
    <pivotField showAll="0"/>
    <pivotField axis="axisRow" showAll="0">
      <items count="10">
        <item x="7"/>
        <item x="8"/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Letzte Aktivität" fld="1" subtotal="max" baseField="5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C7422-17DE-4165-AFEB-A3DA4554EE8C}" name="PivotTable1" cacheId="4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A3:F20" firstHeaderRow="0" firstDataRow="1" firstDataCol="1"/>
  <pivotFields count="12">
    <pivotField showAll="0"/>
    <pivotField showAll="0"/>
    <pivotField showAll="0"/>
    <pivotField axis="axisRow" showAll="0">
      <items count="17">
        <item x="6"/>
        <item x="3"/>
        <item x="5"/>
        <item x="7"/>
        <item x="2"/>
        <item x="0"/>
        <item x="15"/>
        <item x="8"/>
        <item x="9"/>
        <item x="10"/>
        <item x="11"/>
        <item x="12"/>
        <item x="1"/>
        <item x="4"/>
        <item x="13"/>
        <item x="14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me von pageviews" fld="7" baseField="0" baseItem="0"/>
    <dataField name="Summe von events" fld="8" baseField="0" baseItem="0"/>
    <dataField name="Summe von opens" fld="9" baseField="0" baseItem="0"/>
    <dataField name="Summe von saves" fld="10" baseField="0" baseItem="0"/>
    <dataField name="Summe von pageAd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internetzkidz-de">
      <a:dk1>
        <a:sysClr val="windowText" lastClr="000000"/>
      </a:dk1>
      <a:lt1>
        <a:sysClr val="window" lastClr="FFFFFF"/>
      </a:lt1>
      <a:dk2>
        <a:srgbClr val="696969"/>
      </a:dk2>
      <a:lt2>
        <a:srgbClr val="ECECEC"/>
      </a:lt2>
      <a:accent1>
        <a:srgbClr val="5DFC0A"/>
      </a:accent1>
      <a:accent2>
        <a:srgbClr val="2882FF"/>
      </a:accent2>
      <a:accent3>
        <a:srgbClr val="C00000"/>
      </a:accent3>
      <a:accent4>
        <a:srgbClr val="000000"/>
      </a:accent4>
      <a:accent5>
        <a:srgbClr val="7030A0"/>
      </a:accent5>
      <a:accent6>
        <a:srgbClr val="696969"/>
      </a:accent6>
      <a:hlink>
        <a:srgbClr val="5DFC0A"/>
      </a:hlink>
      <a:folHlink>
        <a:srgbClr val="5DFC0A"/>
      </a:folHlink>
    </a:clrScheme>
    <a:fontScheme name="internetzkidz-de">
      <a:majorFont>
        <a:latin typeface="Montserrat"/>
        <a:ea typeface=""/>
        <a:cs typeface=""/>
      </a:majorFont>
      <a:minorFont>
        <a:latin typeface="PT Serif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52FB2-4E8D-4962-A8FE-3F6B75FCEE08}">
  <sheetPr codeName="Tabelle1"/>
  <dimension ref="B1:C5"/>
  <sheetViews>
    <sheetView tabSelected="1" workbookViewId="0">
      <selection activeCell="B1" sqref="B1"/>
    </sheetView>
  </sheetViews>
  <sheetFormatPr baseColWidth="10" defaultRowHeight="15.6" x14ac:dyDescent="0.35"/>
  <cols>
    <col min="3" max="3" width="43.3984375" customWidth="1"/>
  </cols>
  <sheetData>
    <row r="1" spans="2:3" s="1" customFormat="1" ht="45" x14ac:dyDescent="0.35">
      <c r="B1" s="1" t="s">
        <v>0</v>
      </c>
    </row>
    <row r="3" spans="2:3" s="2" customFormat="1" ht="45" customHeight="1" x14ac:dyDescent="0.35">
      <c r="B3" s="3" t="s">
        <v>4</v>
      </c>
      <c r="C3" s="26" t="s">
        <v>1</v>
      </c>
    </row>
    <row r="4" spans="2:3" s="2" customFormat="1" ht="45" customHeight="1" x14ac:dyDescent="0.35">
      <c r="B4" s="4" t="s">
        <v>4</v>
      </c>
      <c r="C4" s="6" t="s">
        <v>2</v>
      </c>
    </row>
    <row r="5" spans="2:3" s="2" customFormat="1" ht="45" customHeight="1" x14ac:dyDescent="0.35">
      <c r="B5" s="5" t="s">
        <v>4</v>
      </c>
      <c r="C5" s="6" t="s">
        <v>3</v>
      </c>
    </row>
  </sheetData>
  <hyperlinks>
    <hyperlink ref="C3" location="tabelle!A1" display="Tabelle" xr:uid="{0FA274EC-0AE4-4DA9-B2E7-9BD2857C00BD}"/>
    <hyperlink ref="C5" location="_wbTagDB!A1" display="_datenbank" xr:uid="{91259729-3729-493F-A903-85D937A7A6F1}"/>
  </hyperlink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09F64-04A4-40FB-AEFF-FA518EBF41E0}">
  <sheetPr codeName="Tabelle2"/>
  <dimension ref="B1:Q29"/>
  <sheetViews>
    <sheetView zoomScale="93" zoomScaleNormal="93" workbookViewId="0">
      <selection activeCell="B29" sqref="B29"/>
    </sheetView>
  </sheetViews>
  <sheetFormatPr baseColWidth="10" defaultRowHeight="15.6" x14ac:dyDescent="0.35"/>
  <cols>
    <col min="2" max="2" width="17.796875" customWidth="1"/>
    <col min="4" max="4" width="11.8984375" customWidth="1"/>
    <col min="5" max="9" width="12.296875" customWidth="1"/>
    <col min="10" max="10" width="12.09765625" customWidth="1"/>
    <col min="11" max="12" width="12.296875" customWidth="1"/>
    <col min="13" max="13" width="11.796875" customWidth="1"/>
    <col min="14" max="15" width="11.59765625" customWidth="1"/>
    <col min="16" max="16" width="3.69921875" customWidth="1"/>
    <col min="17" max="17" width="17" customWidth="1"/>
  </cols>
  <sheetData>
    <row r="1" spans="2:17" s="1" customFormat="1" ht="45" x14ac:dyDescent="0.35">
      <c r="B1" s="1" t="s">
        <v>16</v>
      </c>
    </row>
    <row r="5" spans="2:17" ht="16.2" thickBot="1" x14ac:dyDescent="0.4"/>
    <row r="6" spans="2:17" ht="27.6" customHeight="1" thickBot="1" x14ac:dyDescent="0.4">
      <c r="B6" s="10" t="s">
        <v>5</v>
      </c>
      <c r="D6" s="8">
        <f ca="1">DATE(YEAR(TODAY()),1,1)</f>
        <v>43466</v>
      </c>
      <c r="E6" s="8">
        <f ca="1">EOMONTH(D6,0)+1</f>
        <v>43497</v>
      </c>
      <c r="F6" s="8">
        <f t="shared" ref="F6:O6" ca="1" si="0">EOMONTH(E6,0)+1</f>
        <v>43525</v>
      </c>
      <c r="G6" s="8">
        <f t="shared" ca="1" si="0"/>
        <v>43556</v>
      </c>
      <c r="H6" s="8">
        <f t="shared" ca="1" si="0"/>
        <v>43586</v>
      </c>
      <c r="I6" s="8">
        <f t="shared" ca="1" si="0"/>
        <v>43617</v>
      </c>
      <c r="J6" s="8">
        <f t="shared" ca="1" si="0"/>
        <v>43647</v>
      </c>
      <c r="K6" s="8">
        <f ca="1">EOMONTH(J6,0)+1</f>
        <v>43678</v>
      </c>
      <c r="L6" s="8">
        <f t="shared" ca="1" si="0"/>
        <v>43709</v>
      </c>
      <c r="M6" s="8">
        <f t="shared" ca="1" si="0"/>
        <v>43739</v>
      </c>
      <c r="N6" s="8">
        <f t="shared" ca="1" si="0"/>
        <v>43770</v>
      </c>
      <c r="O6" s="8">
        <f t="shared" ca="1" si="0"/>
        <v>43800</v>
      </c>
      <c r="Q6" s="8" t="s">
        <v>15</v>
      </c>
    </row>
    <row r="7" spans="2:17" ht="7.95" customHeight="1" x14ac:dyDescent="0.35">
      <c r="D7" s="7"/>
    </row>
    <row r="8" spans="2:17" ht="30" customHeight="1" x14ac:dyDescent="0.35">
      <c r="B8" s="11" t="s">
        <v>7</v>
      </c>
      <c r="C8" s="11"/>
      <c r="D8" s="12">
        <f ca="1">RANDBETWEEN(10000,50000)</f>
        <v>20057</v>
      </c>
      <c r="E8" s="12">
        <f t="shared" ref="E8:O8" ca="1" si="1">RANDBETWEEN(10000,50000)</f>
        <v>30569</v>
      </c>
      <c r="F8" s="12">
        <f t="shared" ca="1" si="1"/>
        <v>18640</v>
      </c>
      <c r="G8" s="12">
        <f t="shared" ca="1" si="1"/>
        <v>11050</v>
      </c>
      <c r="H8" s="12">
        <f t="shared" ca="1" si="1"/>
        <v>11261</v>
      </c>
      <c r="I8" s="12">
        <f t="shared" ca="1" si="1"/>
        <v>23653</v>
      </c>
      <c r="J8" s="12">
        <f t="shared" ca="1" si="1"/>
        <v>32990</v>
      </c>
      <c r="K8" s="12">
        <f t="shared" ca="1" si="1"/>
        <v>29499</v>
      </c>
      <c r="L8" s="12">
        <f t="shared" ca="1" si="1"/>
        <v>49450</v>
      </c>
      <c r="M8" s="12">
        <f t="shared" ca="1" si="1"/>
        <v>23889</v>
      </c>
      <c r="N8" s="12">
        <f t="shared" ca="1" si="1"/>
        <v>16999</v>
      </c>
      <c r="O8" s="12">
        <f t="shared" ca="1" si="1"/>
        <v>45910</v>
      </c>
      <c r="P8" s="13"/>
      <c r="Q8" s="14">
        <f ca="1">SUM(D8:O8)</f>
        <v>313967</v>
      </c>
    </row>
    <row r="9" spans="2:17" ht="30" customHeight="1" x14ac:dyDescent="0.35">
      <c r="B9" s="11" t="s">
        <v>8</v>
      </c>
      <c r="C9" s="11"/>
      <c r="D9" s="12">
        <f ca="1">D8*0.66</f>
        <v>13237.62</v>
      </c>
      <c r="E9" s="12">
        <f t="shared" ref="E9:O9" ca="1" si="2">E8*0.66</f>
        <v>20175.54</v>
      </c>
      <c r="F9" s="12">
        <f t="shared" ca="1" si="2"/>
        <v>12302.400000000001</v>
      </c>
      <c r="G9" s="12">
        <f t="shared" ca="1" si="2"/>
        <v>7293</v>
      </c>
      <c r="H9" s="12">
        <f t="shared" ca="1" si="2"/>
        <v>7432.26</v>
      </c>
      <c r="I9" s="12">
        <f t="shared" ca="1" si="2"/>
        <v>15610.980000000001</v>
      </c>
      <c r="J9" s="12">
        <f t="shared" ca="1" si="2"/>
        <v>21773.4</v>
      </c>
      <c r="K9" s="12">
        <f t="shared" ca="1" si="2"/>
        <v>19469.34</v>
      </c>
      <c r="L9" s="12">
        <f t="shared" ca="1" si="2"/>
        <v>32637</v>
      </c>
      <c r="M9" s="12">
        <f t="shared" ca="1" si="2"/>
        <v>15766.740000000002</v>
      </c>
      <c r="N9" s="12">
        <f t="shared" ca="1" si="2"/>
        <v>11219.34</v>
      </c>
      <c r="O9" s="12">
        <f t="shared" ca="1" si="2"/>
        <v>30300.600000000002</v>
      </c>
      <c r="P9" s="13"/>
      <c r="Q9" s="14">
        <f t="shared" ref="Q9:Q11" ca="1" si="3">SUM(D9:O9)</f>
        <v>207218.22</v>
      </c>
    </row>
    <row r="10" spans="2:17" ht="30" customHeight="1" x14ac:dyDescent="0.35">
      <c r="B10" s="11" t="s">
        <v>9</v>
      </c>
      <c r="C10" s="11"/>
      <c r="D10" s="12">
        <f ca="1">D8*3.4</f>
        <v>68193.8</v>
      </c>
      <c r="E10" s="12">
        <f t="shared" ref="E10:O10" ca="1" si="4">E8*3.4</f>
        <v>103934.59999999999</v>
      </c>
      <c r="F10" s="12">
        <f t="shared" ca="1" si="4"/>
        <v>63376</v>
      </c>
      <c r="G10" s="12">
        <f t="shared" ca="1" si="4"/>
        <v>37570</v>
      </c>
      <c r="H10" s="12">
        <f t="shared" ca="1" si="4"/>
        <v>38287.4</v>
      </c>
      <c r="I10" s="12">
        <f t="shared" ca="1" si="4"/>
        <v>80420.2</v>
      </c>
      <c r="J10" s="12">
        <f t="shared" ca="1" si="4"/>
        <v>112166</v>
      </c>
      <c r="K10" s="12">
        <f t="shared" ca="1" si="4"/>
        <v>100296.59999999999</v>
      </c>
      <c r="L10" s="12">
        <f t="shared" ca="1" si="4"/>
        <v>168130</v>
      </c>
      <c r="M10" s="12">
        <f t="shared" ca="1" si="4"/>
        <v>81222.599999999991</v>
      </c>
      <c r="N10" s="12">
        <f t="shared" ca="1" si="4"/>
        <v>57796.6</v>
      </c>
      <c r="O10" s="12">
        <f t="shared" ca="1" si="4"/>
        <v>156094</v>
      </c>
      <c r="P10" s="13"/>
      <c r="Q10" s="14">
        <f t="shared" ca="1" si="3"/>
        <v>1067487.8</v>
      </c>
    </row>
    <row r="11" spans="2:17" ht="30" customHeight="1" x14ac:dyDescent="0.35">
      <c r="B11" s="11" t="s">
        <v>10</v>
      </c>
      <c r="C11" s="11"/>
      <c r="D11" s="15">
        <f ca="1">D13*5</f>
        <v>3265</v>
      </c>
      <c r="E11" s="15">
        <f t="shared" ref="E11:O11" ca="1" si="5">E13*5</f>
        <v>2800</v>
      </c>
      <c r="F11" s="15">
        <f t="shared" ca="1" si="5"/>
        <v>4545</v>
      </c>
      <c r="G11" s="15">
        <f t="shared" ca="1" si="5"/>
        <v>2385</v>
      </c>
      <c r="H11" s="15">
        <f t="shared" ca="1" si="5"/>
        <v>4755</v>
      </c>
      <c r="I11" s="15">
        <f t="shared" ca="1" si="5"/>
        <v>5455</v>
      </c>
      <c r="J11" s="15">
        <f t="shared" ca="1" si="5"/>
        <v>5560</v>
      </c>
      <c r="K11" s="15">
        <f t="shared" ca="1" si="5"/>
        <v>2450</v>
      </c>
      <c r="L11" s="15">
        <f t="shared" ca="1" si="5"/>
        <v>2225</v>
      </c>
      <c r="M11" s="15">
        <f t="shared" ca="1" si="5"/>
        <v>3550</v>
      </c>
      <c r="N11" s="15">
        <f t="shared" ca="1" si="5"/>
        <v>4875</v>
      </c>
      <c r="O11" s="15">
        <f t="shared" ca="1" si="5"/>
        <v>3010</v>
      </c>
      <c r="P11" s="13"/>
      <c r="Q11" s="14">
        <f t="shared" ca="1" si="3"/>
        <v>44875</v>
      </c>
    </row>
    <row r="12" spans="2:17" ht="12" customHeight="1" x14ac:dyDescent="0.35">
      <c r="B12" s="9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2:17" ht="30" customHeight="1" x14ac:dyDescent="0.35">
      <c r="B13" s="11" t="s">
        <v>11</v>
      </c>
      <c r="C13" s="11"/>
      <c r="D13" s="15">
        <f ca="1">RANDBETWEEN(300,1200)</f>
        <v>653</v>
      </c>
      <c r="E13" s="15">
        <f t="shared" ref="E13:O13" ca="1" si="6">RANDBETWEEN(300,1200)</f>
        <v>560</v>
      </c>
      <c r="F13" s="15">
        <f t="shared" ca="1" si="6"/>
        <v>909</v>
      </c>
      <c r="G13" s="15">
        <f t="shared" ca="1" si="6"/>
        <v>477</v>
      </c>
      <c r="H13" s="15">
        <f t="shared" ca="1" si="6"/>
        <v>951</v>
      </c>
      <c r="I13" s="15">
        <f t="shared" ca="1" si="6"/>
        <v>1091</v>
      </c>
      <c r="J13" s="15">
        <f t="shared" ca="1" si="6"/>
        <v>1112</v>
      </c>
      <c r="K13" s="15">
        <f t="shared" ca="1" si="6"/>
        <v>490</v>
      </c>
      <c r="L13" s="15">
        <f t="shared" ca="1" si="6"/>
        <v>445</v>
      </c>
      <c r="M13" s="15">
        <f t="shared" ca="1" si="6"/>
        <v>710</v>
      </c>
      <c r="N13" s="15">
        <f t="shared" ca="1" si="6"/>
        <v>975</v>
      </c>
      <c r="O13" s="15">
        <f t="shared" ca="1" si="6"/>
        <v>602</v>
      </c>
      <c r="P13" s="13"/>
      <c r="Q13" s="14">
        <f ca="1">SUM(D13:O13)</f>
        <v>8975</v>
      </c>
    </row>
    <row r="14" spans="2:17" ht="30" customHeight="1" x14ac:dyDescent="0.35">
      <c r="B14" s="11" t="s">
        <v>12</v>
      </c>
      <c r="C14" s="11"/>
      <c r="D14" s="16">
        <f ca="1">D17*D13</f>
        <v>41139</v>
      </c>
      <c r="E14" s="16">
        <f t="shared" ref="E14:O14" ca="1" si="7">E17*E13</f>
        <v>34160</v>
      </c>
      <c r="F14" s="16">
        <f t="shared" ca="1" si="7"/>
        <v>55449</v>
      </c>
      <c r="G14" s="16">
        <f t="shared" ca="1" si="7"/>
        <v>29574</v>
      </c>
      <c r="H14" s="16">
        <f t="shared" ca="1" si="7"/>
        <v>62766</v>
      </c>
      <c r="I14" s="16">
        <f t="shared" ca="1" si="7"/>
        <v>67642</v>
      </c>
      <c r="J14" s="16">
        <f t="shared" ca="1" si="7"/>
        <v>66720</v>
      </c>
      <c r="K14" s="16">
        <f t="shared" ca="1" si="7"/>
        <v>36260</v>
      </c>
      <c r="L14" s="16">
        <f t="shared" ca="1" si="7"/>
        <v>31150</v>
      </c>
      <c r="M14" s="16">
        <f t="shared" ca="1" si="7"/>
        <v>44730</v>
      </c>
      <c r="N14" s="16">
        <f t="shared" ca="1" si="7"/>
        <v>67275</v>
      </c>
      <c r="O14" s="16">
        <f t="shared" ca="1" si="7"/>
        <v>44548</v>
      </c>
      <c r="P14" s="17"/>
      <c r="Q14" s="18">
        <f ca="1">SUM(D14:O14)</f>
        <v>581413</v>
      </c>
    </row>
    <row r="15" spans="2:17" ht="12" customHeight="1" x14ac:dyDescent="0.35">
      <c r="B15" s="9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2:17" ht="30" customHeight="1" x14ac:dyDescent="0.35">
      <c r="B16" s="11" t="s">
        <v>13</v>
      </c>
      <c r="C16" s="11"/>
      <c r="D16" s="19">
        <f ca="1">D13/D8</f>
        <v>3.2557211945954033E-2</v>
      </c>
      <c r="E16" s="19">
        <f t="shared" ref="E16:Q16" ca="1" si="8">E13/E8</f>
        <v>1.8319212273872225E-2</v>
      </c>
      <c r="F16" s="19">
        <f t="shared" ca="1" si="8"/>
        <v>4.8766094420600856E-2</v>
      </c>
      <c r="G16" s="19">
        <f t="shared" ca="1" si="8"/>
        <v>4.3167420814479641E-2</v>
      </c>
      <c r="H16" s="19">
        <f t="shared" ca="1" si="8"/>
        <v>8.4450759257614777E-2</v>
      </c>
      <c r="I16" s="19">
        <f t="shared" ca="1" si="8"/>
        <v>4.6125227243901411E-2</v>
      </c>
      <c r="J16" s="19">
        <f t="shared" ca="1" si="8"/>
        <v>3.3707183995150047E-2</v>
      </c>
      <c r="K16" s="19">
        <f t="shared" ca="1" si="8"/>
        <v>1.6610732567205667E-2</v>
      </c>
      <c r="L16" s="19">
        <f t="shared" ca="1" si="8"/>
        <v>8.998988877654197E-3</v>
      </c>
      <c r="M16" s="19">
        <f t="shared" ca="1" si="8"/>
        <v>2.9720791996316297E-2</v>
      </c>
      <c r="N16" s="19">
        <f t="shared" ca="1" si="8"/>
        <v>5.7356315077357493E-2</v>
      </c>
      <c r="O16" s="19">
        <f t="shared" ca="1" si="8"/>
        <v>1.3112611631452843E-2</v>
      </c>
      <c r="P16" s="13"/>
      <c r="Q16" s="20">
        <f t="shared" ca="1" si="8"/>
        <v>2.8585806788611542E-2</v>
      </c>
    </row>
    <row r="17" spans="2:17" ht="30" customHeight="1" x14ac:dyDescent="0.35">
      <c r="B17" s="11" t="s">
        <v>14</v>
      </c>
      <c r="C17" s="11"/>
      <c r="D17" s="21">
        <f ca="1">RANDBETWEEN(60,80)</f>
        <v>63</v>
      </c>
      <c r="E17" s="21">
        <f t="shared" ref="E17:Q17" ca="1" si="9">RANDBETWEEN(60,80)</f>
        <v>61</v>
      </c>
      <c r="F17" s="21">
        <f t="shared" ca="1" si="9"/>
        <v>61</v>
      </c>
      <c r="G17" s="21">
        <f t="shared" ca="1" si="9"/>
        <v>62</v>
      </c>
      <c r="H17" s="21">
        <f t="shared" ca="1" si="9"/>
        <v>66</v>
      </c>
      <c r="I17" s="21">
        <f t="shared" ca="1" si="9"/>
        <v>62</v>
      </c>
      <c r="J17" s="21">
        <f t="shared" ca="1" si="9"/>
        <v>60</v>
      </c>
      <c r="K17" s="21">
        <f t="shared" ca="1" si="9"/>
        <v>74</v>
      </c>
      <c r="L17" s="21">
        <f t="shared" ca="1" si="9"/>
        <v>70</v>
      </c>
      <c r="M17" s="21">
        <f t="shared" ca="1" si="9"/>
        <v>63</v>
      </c>
      <c r="N17" s="21">
        <f t="shared" ca="1" si="9"/>
        <v>69</v>
      </c>
      <c r="O17" s="21">
        <f t="shared" ca="1" si="9"/>
        <v>74</v>
      </c>
      <c r="P17" s="22"/>
      <c r="Q17" s="23">
        <f t="shared" ca="1" si="9"/>
        <v>76</v>
      </c>
    </row>
    <row r="18" spans="2:17" ht="24" customHeight="1" x14ac:dyDescent="0.35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2:17" ht="30" customHeight="1" x14ac:dyDescent="0.35">
      <c r="B19" s="11" t="s">
        <v>6</v>
      </c>
      <c r="C19" s="11"/>
      <c r="D19" s="24">
        <f ca="1">D14*0.45</f>
        <v>18512.55</v>
      </c>
      <c r="E19" s="24">
        <f t="shared" ref="E19:O19" ca="1" si="10">E14*0.45</f>
        <v>15372</v>
      </c>
      <c r="F19" s="24">
        <f t="shared" ca="1" si="10"/>
        <v>24952.05</v>
      </c>
      <c r="G19" s="24">
        <f t="shared" ca="1" si="10"/>
        <v>13308.300000000001</v>
      </c>
      <c r="H19" s="24">
        <f t="shared" ca="1" si="10"/>
        <v>28244.7</v>
      </c>
      <c r="I19" s="24">
        <f t="shared" ca="1" si="10"/>
        <v>30438.9</v>
      </c>
      <c r="J19" s="24">
        <f t="shared" ca="1" si="10"/>
        <v>30024</v>
      </c>
      <c r="K19" s="24">
        <f t="shared" ca="1" si="10"/>
        <v>16317</v>
      </c>
      <c r="L19" s="24">
        <f t="shared" ca="1" si="10"/>
        <v>14017.5</v>
      </c>
      <c r="M19" s="24">
        <f t="shared" ca="1" si="10"/>
        <v>20128.5</v>
      </c>
      <c r="N19" s="24">
        <f t="shared" ca="1" si="10"/>
        <v>30273.75</v>
      </c>
      <c r="O19" s="24">
        <f t="shared" ca="1" si="10"/>
        <v>20046.600000000002</v>
      </c>
      <c r="P19" s="13"/>
      <c r="Q19" s="24">
        <f ca="1">SUM(D19:O19)</f>
        <v>261635.85</v>
      </c>
    </row>
    <row r="20" spans="2:17" ht="24" customHeight="1" x14ac:dyDescent="0.35"/>
    <row r="21" spans="2:17" ht="24" customHeight="1" x14ac:dyDescent="0.35"/>
    <row r="22" spans="2:17" ht="24" customHeight="1" x14ac:dyDescent="0.35"/>
    <row r="23" spans="2:17" ht="24" customHeight="1" x14ac:dyDescent="0.35"/>
    <row r="24" spans="2:17" ht="24" customHeight="1" x14ac:dyDescent="0.35"/>
    <row r="25" spans="2:17" ht="24" customHeight="1" x14ac:dyDescent="0.35"/>
    <row r="26" spans="2:17" ht="24" customHeight="1" x14ac:dyDescent="0.35"/>
    <row r="27" spans="2:17" ht="24" customHeight="1" x14ac:dyDescent="0.35"/>
    <row r="28" spans="2:17" ht="24" customHeight="1" x14ac:dyDescent="0.35"/>
    <row r="29" spans="2:17" ht="24" customHeight="1" x14ac:dyDescent="0.35"/>
  </sheetData>
  <phoneticPr fontId="6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0F02-0C97-4832-A400-DEBBDB302539}">
  <sheetPr codeName="db"/>
  <dimension ref="A1:L1128"/>
  <sheetViews>
    <sheetView topLeftCell="A111" workbookViewId="0">
      <selection activeCell="L26" sqref="L26"/>
    </sheetView>
  </sheetViews>
  <sheetFormatPr baseColWidth="10" defaultRowHeight="15.6" x14ac:dyDescent="0.35"/>
  <cols>
    <col min="1" max="1" width="17.69921875" customWidth="1"/>
    <col min="2" max="2" width="21.3984375" style="7" customWidth="1"/>
    <col min="3" max="3" width="14.59765625" customWidth="1"/>
    <col min="4" max="4" width="26.796875" customWidth="1"/>
    <col min="5" max="5" width="12.8984375" customWidth="1"/>
    <col min="6" max="6" width="19" customWidth="1"/>
    <col min="7" max="7" width="24" bestFit="1" customWidth="1"/>
    <col min="8" max="8" width="13.8984375" customWidth="1"/>
  </cols>
  <sheetData>
    <row r="1" spans="1:12" s="25" customFormat="1" ht="20.399999999999999" x14ac:dyDescent="0.35">
      <c r="A1" s="25" t="s">
        <v>17</v>
      </c>
      <c r="B1" s="30" t="s">
        <v>19</v>
      </c>
      <c r="C1" s="25" t="s">
        <v>18</v>
      </c>
      <c r="D1" s="25" t="s">
        <v>20</v>
      </c>
      <c r="E1" s="25" t="s">
        <v>28</v>
      </c>
      <c r="F1" s="25" t="s">
        <v>21</v>
      </c>
      <c r="G1" s="25" t="s">
        <v>22</v>
      </c>
      <c r="H1" s="25" t="s">
        <v>118</v>
      </c>
      <c r="I1" s="25" t="s">
        <v>119</v>
      </c>
      <c r="J1" s="25" t="s">
        <v>120</v>
      </c>
      <c r="K1" s="25" t="s">
        <v>121</v>
      </c>
      <c r="L1" s="25" t="s">
        <v>535</v>
      </c>
    </row>
    <row r="2" spans="1:12" x14ac:dyDescent="0.35">
      <c r="A2" t="s">
        <v>227</v>
      </c>
      <c r="B2" s="7">
        <v>43678.551562499997</v>
      </c>
      <c r="C2" t="s">
        <v>228</v>
      </c>
      <c r="D2" t="s">
        <v>229</v>
      </c>
      <c r="E2">
        <v>1</v>
      </c>
      <c r="F2" t="s">
        <v>230</v>
      </c>
      <c r="G2" t="s">
        <v>231</v>
      </c>
      <c r="H2">
        <v>0</v>
      </c>
      <c r="I2">
        <v>1</v>
      </c>
      <c r="J2">
        <v>0</v>
      </c>
      <c r="K2">
        <v>0</v>
      </c>
      <c r="L2">
        <f>IF(C2="newpage",1,0)</f>
        <v>0</v>
      </c>
    </row>
    <row r="3" spans="1:12" x14ac:dyDescent="0.35">
      <c r="A3" t="s">
        <v>232</v>
      </c>
      <c r="B3" s="7">
        <v>43678.551562499997</v>
      </c>
      <c r="C3" t="s">
        <v>24</v>
      </c>
      <c r="D3" t="s">
        <v>233</v>
      </c>
      <c r="E3">
        <v>1</v>
      </c>
      <c r="F3" t="s">
        <v>230</v>
      </c>
      <c r="G3" t="s">
        <v>231</v>
      </c>
      <c r="H3">
        <v>1</v>
      </c>
      <c r="I3">
        <v>0</v>
      </c>
      <c r="J3">
        <v>0</v>
      </c>
      <c r="K3">
        <v>0</v>
      </c>
      <c r="L3">
        <v>0</v>
      </c>
    </row>
    <row r="4" spans="1:12" x14ac:dyDescent="0.35">
      <c r="A4" t="s">
        <v>234</v>
      </c>
      <c r="B4" s="7">
        <v>43678.551562499997</v>
      </c>
      <c r="C4" t="s">
        <v>108</v>
      </c>
      <c r="D4" t="s">
        <v>229</v>
      </c>
      <c r="E4">
        <v>1</v>
      </c>
      <c r="F4" t="s">
        <v>230</v>
      </c>
      <c r="G4" t="s">
        <v>231</v>
      </c>
      <c r="H4">
        <v>0</v>
      </c>
      <c r="I4">
        <v>0</v>
      </c>
      <c r="J4">
        <v>1</v>
      </c>
      <c r="K4">
        <v>0</v>
      </c>
      <c r="L4">
        <v>0</v>
      </c>
    </row>
    <row r="5" spans="1:12" x14ac:dyDescent="0.35">
      <c r="A5" t="s">
        <v>227</v>
      </c>
      <c r="B5" s="7">
        <v>43678.551562499997</v>
      </c>
      <c r="C5" t="s">
        <v>228</v>
      </c>
      <c r="D5" t="s">
        <v>235</v>
      </c>
      <c r="E5">
        <v>1</v>
      </c>
      <c r="F5" t="s">
        <v>230</v>
      </c>
      <c r="G5" t="s">
        <v>231</v>
      </c>
      <c r="H5">
        <v>0</v>
      </c>
      <c r="I5">
        <v>1</v>
      </c>
      <c r="J5">
        <v>0</v>
      </c>
      <c r="K5">
        <v>0</v>
      </c>
      <c r="L5">
        <v>0</v>
      </c>
    </row>
    <row r="6" spans="1:12" x14ac:dyDescent="0.35">
      <c r="A6" t="s">
        <v>232</v>
      </c>
      <c r="B6" s="7">
        <v>43678.551562499997</v>
      </c>
      <c r="C6" t="s">
        <v>24</v>
      </c>
      <c r="D6" t="s">
        <v>233</v>
      </c>
      <c r="E6">
        <v>1</v>
      </c>
      <c r="F6" t="s">
        <v>236</v>
      </c>
      <c r="G6" t="s">
        <v>237</v>
      </c>
      <c r="H6">
        <v>1</v>
      </c>
      <c r="I6">
        <v>0</v>
      </c>
      <c r="J6">
        <v>0</v>
      </c>
      <c r="K6">
        <v>0</v>
      </c>
      <c r="L6">
        <v>0</v>
      </c>
    </row>
    <row r="7" spans="1:12" x14ac:dyDescent="0.35">
      <c r="A7" t="s">
        <v>232</v>
      </c>
      <c r="B7" s="7">
        <v>43678.551562499997</v>
      </c>
      <c r="C7" t="s">
        <v>24</v>
      </c>
      <c r="D7" t="s">
        <v>31</v>
      </c>
      <c r="E7">
        <v>1</v>
      </c>
      <c r="F7" t="s">
        <v>236</v>
      </c>
      <c r="G7" t="s">
        <v>237</v>
      </c>
      <c r="H7">
        <v>1</v>
      </c>
      <c r="I7">
        <v>0</v>
      </c>
      <c r="J7">
        <v>0</v>
      </c>
      <c r="K7">
        <v>0</v>
      </c>
      <c r="L7">
        <v>0</v>
      </c>
    </row>
    <row r="8" spans="1:12" x14ac:dyDescent="0.35">
      <c r="A8" t="s">
        <v>227</v>
      </c>
      <c r="B8" s="7">
        <v>43678.551562499997</v>
      </c>
      <c r="C8" t="s">
        <v>228</v>
      </c>
      <c r="D8" t="s">
        <v>229</v>
      </c>
      <c r="E8">
        <v>1</v>
      </c>
      <c r="F8" t="s">
        <v>236</v>
      </c>
      <c r="G8" t="s">
        <v>237</v>
      </c>
      <c r="H8">
        <v>0</v>
      </c>
      <c r="I8">
        <v>1</v>
      </c>
      <c r="J8">
        <v>0</v>
      </c>
      <c r="K8">
        <v>0</v>
      </c>
      <c r="L8">
        <v>0</v>
      </c>
    </row>
    <row r="9" spans="1:12" x14ac:dyDescent="0.35">
      <c r="A9" t="s">
        <v>232</v>
      </c>
      <c r="B9" s="7">
        <v>43678.551562499997</v>
      </c>
      <c r="C9" t="s">
        <v>24</v>
      </c>
      <c r="D9" t="s">
        <v>229</v>
      </c>
      <c r="E9">
        <v>1</v>
      </c>
      <c r="F9" t="s">
        <v>236</v>
      </c>
      <c r="G9" t="s">
        <v>237</v>
      </c>
      <c r="H9">
        <v>1</v>
      </c>
      <c r="I9">
        <v>0</v>
      </c>
      <c r="J9">
        <v>0</v>
      </c>
      <c r="K9">
        <v>0</v>
      </c>
      <c r="L9">
        <v>0</v>
      </c>
    </row>
    <row r="10" spans="1:12" x14ac:dyDescent="0.35">
      <c r="A10" t="s">
        <v>227</v>
      </c>
      <c r="B10" s="7">
        <v>43678.551562499997</v>
      </c>
      <c r="C10" t="s">
        <v>228</v>
      </c>
      <c r="D10" t="s">
        <v>229</v>
      </c>
      <c r="E10">
        <v>1</v>
      </c>
      <c r="F10" t="s">
        <v>236</v>
      </c>
      <c r="G10" t="s">
        <v>237</v>
      </c>
      <c r="H10">
        <v>0</v>
      </c>
      <c r="I10">
        <v>1</v>
      </c>
      <c r="J10">
        <v>0</v>
      </c>
      <c r="K10">
        <v>0</v>
      </c>
      <c r="L10">
        <v>0</v>
      </c>
    </row>
    <row r="11" spans="1:12" x14ac:dyDescent="0.35">
      <c r="A11" t="s">
        <v>232</v>
      </c>
      <c r="B11" s="7">
        <v>43678.551562499997</v>
      </c>
      <c r="C11" t="s">
        <v>24</v>
      </c>
      <c r="D11" t="s">
        <v>238</v>
      </c>
      <c r="E11">
        <v>1</v>
      </c>
      <c r="F11" t="s">
        <v>239</v>
      </c>
      <c r="G11" t="s">
        <v>237</v>
      </c>
      <c r="H11">
        <v>1</v>
      </c>
      <c r="I11">
        <v>0</v>
      </c>
      <c r="J11">
        <v>0</v>
      </c>
      <c r="K11">
        <v>0</v>
      </c>
      <c r="L11">
        <v>0</v>
      </c>
    </row>
    <row r="12" spans="1:12" x14ac:dyDescent="0.35">
      <c r="A12" t="s">
        <v>232</v>
      </c>
      <c r="B12" s="7">
        <v>43678.551562499997</v>
      </c>
      <c r="C12" t="s">
        <v>24</v>
      </c>
      <c r="D12" t="s">
        <v>34</v>
      </c>
      <c r="E12">
        <v>1</v>
      </c>
      <c r="F12" t="s">
        <v>240</v>
      </c>
      <c r="G12" t="s">
        <v>237</v>
      </c>
      <c r="H12">
        <v>1</v>
      </c>
      <c r="I12">
        <v>0</v>
      </c>
      <c r="J12">
        <v>0</v>
      </c>
      <c r="K12">
        <v>0</v>
      </c>
      <c r="L12">
        <v>0</v>
      </c>
    </row>
    <row r="13" spans="1:12" x14ac:dyDescent="0.35">
      <c r="A13" t="s">
        <v>227</v>
      </c>
      <c r="B13" s="7">
        <v>43678.551562499997</v>
      </c>
      <c r="C13" t="s">
        <v>228</v>
      </c>
      <c r="D13" t="s">
        <v>229</v>
      </c>
      <c r="E13">
        <v>1</v>
      </c>
      <c r="F13" t="s">
        <v>240</v>
      </c>
      <c r="G13" t="s">
        <v>237</v>
      </c>
      <c r="H13">
        <v>0</v>
      </c>
      <c r="I13">
        <v>1</v>
      </c>
      <c r="J13">
        <v>0</v>
      </c>
      <c r="K13">
        <v>0</v>
      </c>
      <c r="L13">
        <v>0</v>
      </c>
    </row>
    <row r="14" spans="1:12" x14ac:dyDescent="0.35">
      <c r="A14" t="s">
        <v>241</v>
      </c>
      <c r="B14" s="7">
        <v>43678.551562499997</v>
      </c>
      <c r="C14" t="s">
        <v>85</v>
      </c>
      <c r="D14" t="s">
        <v>238</v>
      </c>
      <c r="E14">
        <v>1</v>
      </c>
      <c r="F14" t="s">
        <v>242</v>
      </c>
      <c r="G14" t="s">
        <v>231</v>
      </c>
      <c r="H14">
        <v>0</v>
      </c>
      <c r="I14">
        <v>0</v>
      </c>
      <c r="J14">
        <v>0</v>
      </c>
      <c r="K14">
        <v>1</v>
      </c>
      <c r="L14">
        <v>0</v>
      </c>
    </row>
    <row r="15" spans="1:12" x14ac:dyDescent="0.35">
      <c r="A15" t="s">
        <v>243</v>
      </c>
      <c r="B15" s="7">
        <v>43679.551562499997</v>
      </c>
      <c r="C15" t="s">
        <v>228</v>
      </c>
      <c r="D15" t="s">
        <v>229</v>
      </c>
      <c r="E15">
        <v>1</v>
      </c>
      <c r="F15" t="s">
        <v>236</v>
      </c>
      <c r="G15" t="s">
        <v>237</v>
      </c>
      <c r="H15">
        <v>0</v>
      </c>
      <c r="I15">
        <v>1</v>
      </c>
      <c r="J15">
        <v>0</v>
      </c>
      <c r="K15">
        <v>0</v>
      </c>
      <c r="L15">
        <v>0</v>
      </c>
    </row>
    <row r="16" spans="1:12" x14ac:dyDescent="0.35">
      <c r="A16" t="s">
        <v>244</v>
      </c>
      <c r="B16" s="7">
        <v>43679.551562499997</v>
      </c>
      <c r="C16" t="s">
        <v>24</v>
      </c>
      <c r="D16" t="s">
        <v>229</v>
      </c>
      <c r="E16">
        <v>1</v>
      </c>
      <c r="F16" t="s">
        <v>239</v>
      </c>
      <c r="G16" t="s">
        <v>237</v>
      </c>
      <c r="H16">
        <v>1</v>
      </c>
      <c r="I16">
        <v>0</v>
      </c>
      <c r="J16">
        <v>0</v>
      </c>
      <c r="K16">
        <v>0</v>
      </c>
      <c r="L16">
        <v>0</v>
      </c>
    </row>
    <row r="17" spans="1:12" x14ac:dyDescent="0.35">
      <c r="A17" t="s">
        <v>245</v>
      </c>
      <c r="B17" s="7">
        <v>43679.551562499997</v>
      </c>
      <c r="C17" t="s">
        <v>108</v>
      </c>
      <c r="D17" t="s">
        <v>233</v>
      </c>
      <c r="E17">
        <v>1</v>
      </c>
      <c r="F17" t="s">
        <v>239</v>
      </c>
      <c r="G17" t="s">
        <v>237</v>
      </c>
      <c r="H17">
        <v>0</v>
      </c>
      <c r="I17">
        <v>0</v>
      </c>
      <c r="J17">
        <v>1</v>
      </c>
      <c r="K17">
        <v>0</v>
      </c>
      <c r="L17">
        <v>0</v>
      </c>
    </row>
    <row r="18" spans="1:12" x14ac:dyDescent="0.35">
      <c r="A18" t="s">
        <v>244</v>
      </c>
      <c r="B18" s="7">
        <v>43679.551562499997</v>
      </c>
      <c r="C18" t="s">
        <v>24</v>
      </c>
      <c r="D18" t="s">
        <v>238</v>
      </c>
      <c r="E18">
        <v>1</v>
      </c>
      <c r="F18" t="s">
        <v>242</v>
      </c>
      <c r="G18" t="s">
        <v>231</v>
      </c>
      <c r="H18">
        <v>1</v>
      </c>
      <c r="I18">
        <v>0</v>
      </c>
      <c r="J18">
        <v>0</v>
      </c>
      <c r="K18">
        <v>0</v>
      </c>
      <c r="L18">
        <v>0</v>
      </c>
    </row>
    <row r="19" spans="1:12" x14ac:dyDescent="0.35">
      <c r="A19" t="s">
        <v>243</v>
      </c>
      <c r="B19" s="7">
        <v>43679.551562499997</v>
      </c>
      <c r="C19" t="s">
        <v>228</v>
      </c>
      <c r="D19" t="s">
        <v>34</v>
      </c>
      <c r="E19">
        <v>1</v>
      </c>
      <c r="F19" t="s">
        <v>242</v>
      </c>
      <c r="G19" t="s">
        <v>231</v>
      </c>
      <c r="H19">
        <v>0</v>
      </c>
      <c r="I19">
        <v>1</v>
      </c>
      <c r="J19">
        <v>0</v>
      </c>
      <c r="K19">
        <v>0</v>
      </c>
      <c r="L19">
        <v>0</v>
      </c>
    </row>
    <row r="20" spans="1:12" x14ac:dyDescent="0.35">
      <c r="A20" t="s">
        <v>246</v>
      </c>
      <c r="B20" s="7">
        <v>43680.551562499997</v>
      </c>
      <c r="C20" t="s">
        <v>108</v>
      </c>
      <c r="D20" t="s">
        <v>31</v>
      </c>
      <c r="E20">
        <v>1</v>
      </c>
      <c r="F20" t="s">
        <v>230</v>
      </c>
      <c r="G20" t="s">
        <v>231</v>
      </c>
      <c r="H20">
        <v>0</v>
      </c>
      <c r="I20">
        <v>0</v>
      </c>
      <c r="J20">
        <v>1</v>
      </c>
      <c r="K20">
        <v>0</v>
      </c>
      <c r="L20">
        <v>0</v>
      </c>
    </row>
    <row r="21" spans="1:12" x14ac:dyDescent="0.35">
      <c r="A21" t="s">
        <v>247</v>
      </c>
      <c r="B21" s="7">
        <v>43680.551562499997</v>
      </c>
      <c r="C21" t="s">
        <v>24</v>
      </c>
      <c r="D21" t="s">
        <v>31</v>
      </c>
      <c r="E21">
        <v>1</v>
      </c>
      <c r="F21" t="s">
        <v>230</v>
      </c>
      <c r="G21" t="s">
        <v>231</v>
      </c>
      <c r="H21">
        <v>1</v>
      </c>
      <c r="I21">
        <v>0</v>
      </c>
      <c r="J21">
        <v>0</v>
      </c>
      <c r="K21">
        <v>0</v>
      </c>
      <c r="L21">
        <v>0</v>
      </c>
    </row>
    <row r="22" spans="1:12" x14ac:dyDescent="0.35">
      <c r="A22" t="s">
        <v>248</v>
      </c>
      <c r="B22" s="7">
        <v>43680.551562499997</v>
      </c>
      <c r="C22" t="s">
        <v>228</v>
      </c>
      <c r="D22" t="s">
        <v>238</v>
      </c>
      <c r="E22">
        <v>1</v>
      </c>
      <c r="F22" t="s">
        <v>249</v>
      </c>
      <c r="G22" t="s">
        <v>231</v>
      </c>
      <c r="H22">
        <v>0</v>
      </c>
      <c r="I22">
        <v>1</v>
      </c>
      <c r="J22">
        <v>0</v>
      </c>
      <c r="K22">
        <v>0</v>
      </c>
      <c r="L22">
        <v>0</v>
      </c>
    </row>
    <row r="23" spans="1:12" x14ac:dyDescent="0.35">
      <c r="A23" t="s">
        <v>247</v>
      </c>
      <c r="B23" s="7">
        <v>43680.551562499997</v>
      </c>
      <c r="C23" t="s">
        <v>24</v>
      </c>
      <c r="D23" t="s">
        <v>229</v>
      </c>
      <c r="E23">
        <v>1</v>
      </c>
      <c r="F23" t="s">
        <v>236</v>
      </c>
      <c r="G23" t="s">
        <v>237</v>
      </c>
      <c r="H23">
        <v>1</v>
      </c>
      <c r="I23">
        <v>0</v>
      </c>
      <c r="J23">
        <v>0</v>
      </c>
      <c r="K23">
        <v>0</v>
      </c>
      <c r="L23">
        <v>0</v>
      </c>
    </row>
    <row r="24" spans="1:12" x14ac:dyDescent="0.35">
      <c r="A24" t="s">
        <v>248</v>
      </c>
      <c r="B24" s="7">
        <v>43680.551562499997</v>
      </c>
      <c r="C24" t="s">
        <v>228</v>
      </c>
      <c r="D24" t="s">
        <v>229</v>
      </c>
      <c r="E24">
        <v>1</v>
      </c>
      <c r="F24" t="s">
        <v>236</v>
      </c>
      <c r="G24" t="s">
        <v>237</v>
      </c>
      <c r="H24">
        <v>0</v>
      </c>
      <c r="I24">
        <v>1</v>
      </c>
      <c r="J24">
        <v>0</v>
      </c>
      <c r="K24">
        <v>0</v>
      </c>
      <c r="L24">
        <v>0</v>
      </c>
    </row>
    <row r="25" spans="1:12" x14ac:dyDescent="0.35">
      <c r="A25" t="s">
        <v>247</v>
      </c>
      <c r="B25" s="7">
        <v>43680.551562499997</v>
      </c>
      <c r="C25" t="s">
        <v>24</v>
      </c>
      <c r="D25" t="s">
        <v>229</v>
      </c>
      <c r="E25">
        <v>1</v>
      </c>
      <c r="F25" t="s">
        <v>236</v>
      </c>
      <c r="G25" t="s">
        <v>237</v>
      </c>
      <c r="H25">
        <v>1</v>
      </c>
      <c r="I25">
        <v>0</v>
      </c>
      <c r="J25">
        <v>0</v>
      </c>
      <c r="K25">
        <v>0</v>
      </c>
      <c r="L25">
        <v>0</v>
      </c>
    </row>
    <row r="26" spans="1:12" x14ac:dyDescent="0.35">
      <c r="A26" t="s">
        <v>247</v>
      </c>
      <c r="B26" s="7">
        <v>43680.551562499997</v>
      </c>
      <c r="C26" t="s">
        <v>24</v>
      </c>
      <c r="D26" t="s">
        <v>238</v>
      </c>
      <c r="E26">
        <v>1</v>
      </c>
      <c r="F26" t="s">
        <v>236</v>
      </c>
      <c r="G26" t="s">
        <v>237</v>
      </c>
      <c r="H26">
        <v>1</v>
      </c>
      <c r="I26">
        <v>0</v>
      </c>
      <c r="J26">
        <v>0</v>
      </c>
      <c r="K26">
        <v>0</v>
      </c>
      <c r="L26">
        <v>0</v>
      </c>
    </row>
    <row r="27" spans="1:12" x14ac:dyDescent="0.35">
      <c r="A27" t="s">
        <v>246</v>
      </c>
      <c r="B27" s="7">
        <v>43680.551562499997</v>
      </c>
      <c r="C27" t="s">
        <v>108</v>
      </c>
      <c r="D27" t="s">
        <v>34</v>
      </c>
      <c r="E27">
        <v>1</v>
      </c>
      <c r="F27" t="s">
        <v>236</v>
      </c>
      <c r="G27" t="s">
        <v>237</v>
      </c>
      <c r="H27">
        <v>0</v>
      </c>
      <c r="I27">
        <v>0</v>
      </c>
      <c r="J27">
        <v>1</v>
      </c>
      <c r="K27">
        <v>0</v>
      </c>
      <c r="L27">
        <v>0</v>
      </c>
    </row>
    <row r="28" spans="1:12" x14ac:dyDescent="0.35">
      <c r="A28" t="s">
        <v>250</v>
      </c>
      <c r="B28" s="7">
        <v>43680.551562499997</v>
      </c>
      <c r="C28" t="s">
        <v>85</v>
      </c>
      <c r="D28" t="s">
        <v>229</v>
      </c>
      <c r="E28">
        <v>1</v>
      </c>
      <c r="F28" t="s">
        <v>236</v>
      </c>
      <c r="G28" t="s">
        <v>237</v>
      </c>
      <c r="H28">
        <v>0</v>
      </c>
      <c r="I28">
        <v>0</v>
      </c>
      <c r="J28">
        <v>0</v>
      </c>
      <c r="K28">
        <v>1</v>
      </c>
      <c r="L28">
        <v>0</v>
      </c>
    </row>
    <row r="29" spans="1:12" x14ac:dyDescent="0.35">
      <c r="A29" t="s">
        <v>247</v>
      </c>
      <c r="B29" s="7">
        <v>43680.551562499997</v>
      </c>
      <c r="C29" t="s">
        <v>24</v>
      </c>
      <c r="D29" t="s">
        <v>34</v>
      </c>
      <c r="E29">
        <v>1</v>
      </c>
      <c r="F29" t="s">
        <v>239</v>
      </c>
      <c r="G29" t="s">
        <v>237</v>
      </c>
      <c r="H29">
        <v>1</v>
      </c>
      <c r="I29">
        <v>0</v>
      </c>
      <c r="J29">
        <v>0</v>
      </c>
      <c r="K29">
        <v>0</v>
      </c>
      <c r="L29">
        <v>0</v>
      </c>
    </row>
    <row r="30" spans="1:12" x14ac:dyDescent="0.35">
      <c r="A30" t="s">
        <v>248</v>
      </c>
      <c r="B30" s="7">
        <v>43680.551562499997</v>
      </c>
      <c r="C30" t="s">
        <v>228</v>
      </c>
      <c r="D30" t="s">
        <v>233</v>
      </c>
      <c r="E30">
        <v>1</v>
      </c>
      <c r="F30" t="s">
        <v>239</v>
      </c>
      <c r="G30" t="s">
        <v>237</v>
      </c>
      <c r="H30">
        <v>0</v>
      </c>
      <c r="I30">
        <v>1</v>
      </c>
      <c r="J30">
        <v>0</v>
      </c>
      <c r="K30">
        <v>0</v>
      </c>
      <c r="L30">
        <v>0</v>
      </c>
    </row>
    <row r="31" spans="1:12" x14ac:dyDescent="0.35">
      <c r="A31" t="s">
        <v>247</v>
      </c>
      <c r="B31" s="7">
        <v>43680.551562499997</v>
      </c>
      <c r="C31" t="s">
        <v>24</v>
      </c>
      <c r="D31" t="s">
        <v>31</v>
      </c>
      <c r="E31">
        <v>1</v>
      </c>
      <c r="F31" t="s">
        <v>242</v>
      </c>
      <c r="G31" t="s">
        <v>231</v>
      </c>
      <c r="H31">
        <v>1</v>
      </c>
      <c r="I31">
        <v>0</v>
      </c>
      <c r="J31">
        <v>0</v>
      </c>
      <c r="K31">
        <v>0</v>
      </c>
      <c r="L31">
        <v>0</v>
      </c>
    </row>
    <row r="32" spans="1:12" x14ac:dyDescent="0.35">
      <c r="A32" t="s">
        <v>247</v>
      </c>
      <c r="B32" s="7">
        <v>43680.551562499997</v>
      </c>
      <c r="C32" t="s">
        <v>24</v>
      </c>
      <c r="D32" t="s">
        <v>31</v>
      </c>
      <c r="E32">
        <v>1</v>
      </c>
      <c r="F32" t="s">
        <v>242</v>
      </c>
      <c r="G32" t="s">
        <v>231</v>
      </c>
      <c r="H32">
        <v>1</v>
      </c>
      <c r="I32">
        <v>0</v>
      </c>
      <c r="J32">
        <v>0</v>
      </c>
      <c r="K32">
        <v>0</v>
      </c>
      <c r="L32">
        <v>0</v>
      </c>
    </row>
    <row r="33" spans="1:12" x14ac:dyDescent="0.35">
      <c r="A33" t="s">
        <v>248</v>
      </c>
      <c r="B33" s="7">
        <v>43680.551562499997</v>
      </c>
      <c r="C33" t="s">
        <v>228</v>
      </c>
      <c r="D33" t="s">
        <v>34</v>
      </c>
      <c r="E33">
        <v>1</v>
      </c>
      <c r="F33" t="s">
        <v>242</v>
      </c>
      <c r="G33" t="s">
        <v>231</v>
      </c>
      <c r="H33">
        <v>0</v>
      </c>
      <c r="I33">
        <v>1</v>
      </c>
      <c r="J33">
        <v>0</v>
      </c>
      <c r="K33">
        <v>0</v>
      </c>
      <c r="L33">
        <v>0</v>
      </c>
    </row>
    <row r="34" spans="1:12" x14ac:dyDescent="0.35">
      <c r="A34" t="s">
        <v>251</v>
      </c>
      <c r="B34" s="7">
        <v>43681.551562499997</v>
      </c>
      <c r="C34" t="s">
        <v>24</v>
      </c>
      <c r="D34" t="s">
        <v>31</v>
      </c>
      <c r="E34">
        <v>1</v>
      </c>
      <c r="F34" t="s">
        <v>230</v>
      </c>
      <c r="G34" t="s">
        <v>231</v>
      </c>
      <c r="H34">
        <v>1</v>
      </c>
      <c r="I34">
        <v>0</v>
      </c>
      <c r="J34">
        <v>0</v>
      </c>
      <c r="K34">
        <v>0</v>
      </c>
      <c r="L34">
        <v>0</v>
      </c>
    </row>
    <row r="35" spans="1:12" x14ac:dyDescent="0.35">
      <c r="A35" t="s">
        <v>251</v>
      </c>
      <c r="B35" s="7">
        <v>43681.551562499997</v>
      </c>
      <c r="C35" t="s">
        <v>24</v>
      </c>
      <c r="D35" t="s">
        <v>238</v>
      </c>
      <c r="E35">
        <v>1</v>
      </c>
      <c r="F35" t="s">
        <v>230</v>
      </c>
      <c r="G35" t="s">
        <v>231</v>
      </c>
      <c r="H35">
        <v>1</v>
      </c>
      <c r="I35">
        <v>0</v>
      </c>
      <c r="J35">
        <v>0</v>
      </c>
      <c r="K35">
        <v>0</v>
      </c>
      <c r="L35">
        <v>0</v>
      </c>
    </row>
    <row r="36" spans="1:12" x14ac:dyDescent="0.35">
      <c r="A36" t="s">
        <v>251</v>
      </c>
      <c r="B36" s="7">
        <v>43681.551562499997</v>
      </c>
      <c r="C36" t="s">
        <v>24</v>
      </c>
      <c r="D36" t="s">
        <v>238</v>
      </c>
      <c r="E36">
        <v>1</v>
      </c>
      <c r="F36" t="s">
        <v>230</v>
      </c>
      <c r="G36" t="s">
        <v>231</v>
      </c>
      <c r="H36">
        <v>1</v>
      </c>
      <c r="I36">
        <v>0</v>
      </c>
      <c r="J36">
        <v>0</v>
      </c>
      <c r="K36">
        <v>0</v>
      </c>
      <c r="L36">
        <v>0</v>
      </c>
    </row>
    <row r="37" spans="1:12" x14ac:dyDescent="0.35">
      <c r="A37" t="s">
        <v>252</v>
      </c>
      <c r="B37" s="7">
        <v>43681.551562499997</v>
      </c>
      <c r="C37" t="s">
        <v>228</v>
      </c>
      <c r="D37" t="s">
        <v>235</v>
      </c>
      <c r="E37">
        <v>1</v>
      </c>
      <c r="F37" t="s">
        <v>230</v>
      </c>
      <c r="G37" t="s">
        <v>231</v>
      </c>
      <c r="H37">
        <v>0</v>
      </c>
      <c r="I37">
        <v>1</v>
      </c>
      <c r="J37">
        <v>0</v>
      </c>
      <c r="K37">
        <v>0</v>
      </c>
      <c r="L37">
        <v>0</v>
      </c>
    </row>
    <row r="38" spans="1:12" x14ac:dyDescent="0.35">
      <c r="A38" t="s">
        <v>251</v>
      </c>
      <c r="B38" s="7">
        <v>43681.551562499997</v>
      </c>
      <c r="C38" t="s">
        <v>24</v>
      </c>
      <c r="D38" t="s">
        <v>31</v>
      </c>
      <c r="E38">
        <v>1</v>
      </c>
      <c r="F38" t="s">
        <v>249</v>
      </c>
      <c r="G38" t="s">
        <v>231</v>
      </c>
      <c r="H38">
        <v>1</v>
      </c>
      <c r="I38">
        <v>0</v>
      </c>
      <c r="J38">
        <v>0</v>
      </c>
      <c r="K38">
        <v>0</v>
      </c>
      <c r="L38">
        <v>0</v>
      </c>
    </row>
    <row r="39" spans="1:12" x14ac:dyDescent="0.35">
      <c r="A39" t="s">
        <v>252</v>
      </c>
      <c r="B39" s="7">
        <v>43681.551562499997</v>
      </c>
      <c r="C39" t="s">
        <v>228</v>
      </c>
      <c r="D39" t="s">
        <v>235</v>
      </c>
      <c r="E39">
        <v>1</v>
      </c>
      <c r="F39" t="s">
        <v>236</v>
      </c>
      <c r="G39" t="s">
        <v>237</v>
      </c>
      <c r="H39">
        <v>0</v>
      </c>
      <c r="I39">
        <v>1</v>
      </c>
      <c r="J39">
        <v>0</v>
      </c>
      <c r="K39">
        <v>0</v>
      </c>
      <c r="L39">
        <v>0</v>
      </c>
    </row>
    <row r="40" spans="1:12" x14ac:dyDescent="0.35">
      <c r="A40" t="s">
        <v>251</v>
      </c>
      <c r="B40" s="7">
        <v>43681.551562499997</v>
      </c>
      <c r="C40" t="s">
        <v>24</v>
      </c>
      <c r="D40" t="s">
        <v>229</v>
      </c>
      <c r="E40">
        <v>1</v>
      </c>
      <c r="F40" t="s">
        <v>236</v>
      </c>
      <c r="G40" t="s">
        <v>237</v>
      </c>
      <c r="H40">
        <v>1</v>
      </c>
      <c r="I40">
        <v>0</v>
      </c>
      <c r="J40">
        <v>0</v>
      </c>
      <c r="K40">
        <v>0</v>
      </c>
      <c r="L40">
        <v>0</v>
      </c>
    </row>
    <row r="41" spans="1:12" x14ac:dyDescent="0.35">
      <c r="A41" t="s">
        <v>252</v>
      </c>
      <c r="B41" s="7">
        <v>43681.551562499997</v>
      </c>
      <c r="C41" t="s">
        <v>228</v>
      </c>
      <c r="D41" t="s">
        <v>229</v>
      </c>
      <c r="E41">
        <v>1</v>
      </c>
      <c r="F41" t="s">
        <v>239</v>
      </c>
      <c r="G41" t="s">
        <v>237</v>
      </c>
      <c r="H41">
        <v>0</v>
      </c>
      <c r="I41">
        <v>1</v>
      </c>
      <c r="J41">
        <v>0</v>
      </c>
      <c r="K41">
        <v>0</v>
      </c>
      <c r="L41">
        <v>0</v>
      </c>
    </row>
    <row r="42" spans="1:12" x14ac:dyDescent="0.35">
      <c r="A42" t="s">
        <v>253</v>
      </c>
      <c r="B42" s="7">
        <v>43681.551562499997</v>
      </c>
      <c r="C42" t="s">
        <v>108</v>
      </c>
      <c r="D42" t="s">
        <v>233</v>
      </c>
      <c r="E42">
        <v>1</v>
      </c>
      <c r="F42" t="s">
        <v>240</v>
      </c>
      <c r="G42" t="s">
        <v>237</v>
      </c>
      <c r="H42">
        <v>0</v>
      </c>
      <c r="I42">
        <v>0</v>
      </c>
      <c r="J42">
        <v>1</v>
      </c>
      <c r="K42">
        <v>0</v>
      </c>
      <c r="L42">
        <v>0</v>
      </c>
    </row>
    <row r="43" spans="1:12" x14ac:dyDescent="0.35">
      <c r="A43" t="s">
        <v>251</v>
      </c>
      <c r="B43" s="7">
        <v>43681.551562499997</v>
      </c>
      <c r="C43" t="s">
        <v>24</v>
      </c>
      <c r="D43" t="s">
        <v>238</v>
      </c>
      <c r="E43">
        <v>1</v>
      </c>
      <c r="F43" t="s">
        <v>240</v>
      </c>
      <c r="G43" t="s">
        <v>237</v>
      </c>
      <c r="H43">
        <v>1</v>
      </c>
      <c r="I43">
        <v>0</v>
      </c>
      <c r="J43">
        <v>0</v>
      </c>
      <c r="K43">
        <v>0</v>
      </c>
      <c r="L43">
        <v>0</v>
      </c>
    </row>
    <row r="44" spans="1:12" x14ac:dyDescent="0.35">
      <c r="A44" t="s">
        <v>253</v>
      </c>
      <c r="B44" s="7">
        <v>43681.551562499997</v>
      </c>
      <c r="C44" t="s">
        <v>108</v>
      </c>
      <c r="D44" t="s">
        <v>233</v>
      </c>
      <c r="E44">
        <v>1</v>
      </c>
      <c r="F44" t="s">
        <v>240</v>
      </c>
      <c r="G44" t="s">
        <v>237</v>
      </c>
      <c r="H44">
        <v>0</v>
      </c>
      <c r="I44">
        <v>0</v>
      </c>
      <c r="J44">
        <v>1</v>
      </c>
      <c r="K44">
        <v>0</v>
      </c>
      <c r="L44">
        <v>0</v>
      </c>
    </row>
    <row r="45" spans="1:12" x14ac:dyDescent="0.35">
      <c r="A45" t="s">
        <v>253</v>
      </c>
      <c r="B45" s="7">
        <v>43681.551562499997</v>
      </c>
      <c r="C45" t="s">
        <v>108</v>
      </c>
      <c r="D45" t="s">
        <v>34</v>
      </c>
      <c r="E45">
        <v>1</v>
      </c>
      <c r="F45" t="s">
        <v>242</v>
      </c>
      <c r="G45" t="s">
        <v>231</v>
      </c>
      <c r="H45">
        <v>0</v>
      </c>
      <c r="I45">
        <v>0</v>
      </c>
      <c r="J45">
        <v>1</v>
      </c>
      <c r="K45">
        <v>0</v>
      </c>
      <c r="L45">
        <v>0</v>
      </c>
    </row>
    <row r="46" spans="1:12" x14ac:dyDescent="0.35">
      <c r="A46" t="s">
        <v>251</v>
      </c>
      <c r="B46" s="7">
        <v>43681.551562499997</v>
      </c>
      <c r="C46" t="s">
        <v>24</v>
      </c>
      <c r="D46" t="s">
        <v>235</v>
      </c>
      <c r="E46">
        <v>1</v>
      </c>
      <c r="F46" t="s">
        <v>242</v>
      </c>
      <c r="G46" t="s">
        <v>231</v>
      </c>
      <c r="H46">
        <v>1</v>
      </c>
      <c r="I46">
        <v>0</v>
      </c>
      <c r="J46">
        <v>0</v>
      </c>
      <c r="K46">
        <v>0</v>
      </c>
      <c r="L46">
        <v>0</v>
      </c>
    </row>
    <row r="47" spans="1:12" x14ac:dyDescent="0.35">
      <c r="A47" t="s">
        <v>254</v>
      </c>
      <c r="B47" s="7">
        <v>43682.551562499997</v>
      </c>
      <c r="C47" t="s">
        <v>24</v>
      </c>
      <c r="D47" t="s">
        <v>31</v>
      </c>
      <c r="E47">
        <v>1</v>
      </c>
      <c r="F47" t="s">
        <v>230</v>
      </c>
      <c r="G47" t="s">
        <v>231</v>
      </c>
      <c r="H47">
        <v>1</v>
      </c>
      <c r="I47">
        <v>0</v>
      </c>
      <c r="J47">
        <v>0</v>
      </c>
      <c r="K47">
        <v>0</v>
      </c>
      <c r="L47">
        <v>0</v>
      </c>
    </row>
    <row r="48" spans="1:12" x14ac:dyDescent="0.35">
      <c r="A48" t="s">
        <v>254</v>
      </c>
      <c r="B48" s="7">
        <v>43682.551562499997</v>
      </c>
      <c r="C48" t="s">
        <v>24</v>
      </c>
      <c r="D48" t="s">
        <v>31</v>
      </c>
      <c r="E48">
        <v>1</v>
      </c>
      <c r="F48" t="s">
        <v>230</v>
      </c>
      <c r="G48" t="s">
        <v>231</v>
      </c>
      <c r="H48">
        <v>1</v>
      </c>
      <c r="I48">
        <v>0</v>
      </c>
      <c r="J48">
        <v>0</v>
      </c>
      <c r="K48">
        <v>0</v>
      </c>
      <c r="L48">
        <v>0</v>
      </c>
    </row>
    <row r="49" spans="1:12" x14ac:dyDescent="0.35">
      <c r="A49" t="s">
        <v>255</v>
      </c>
      <c r="B49" s="7">
        <v>43682.551562499997</v>
      </c>
      <c r="C49" t="s">
        <v>85</v>
      </c>
      <c r="D49" t="s">
        <v>34</v>
      </c>
      <c r="E49">
        <v>1</v>
      </c>
      <c r="F49" t="s">
        <v>230</v>
      </c>
      <c r="G49" t="s">
        <v>231</v>
      </c>
      <c r="H49">
        <v>0</v>
      </c>
      <c r="I49">
        <v>0</v>
      </c>
      <c r="J49">
        <v>0</v>
      </c>
      <c r="K49">
        <v>1</v>
      </c>
      <c r="L49">
        <v>0</v>
      </c>
    </row>
    <row r="50" spans="1:12" x14ac:dyDescent="0.35">
      <c r="A50" t="s">
        <v>254</v>
      </c>
      <c r="B50" s="7">
        <v>43682.551562499997</v>
      </c>
      <c r="C50" t="s">
        <v>24</v>
      </c>
      <c r="D50" t="s">
        <v>34</v>
      </c>
      <c r="E50">
        <v>1</v>
      </c>
      <c r="F50" t="s">
        <v>249</v>
      </c>
      <c r="G50" t="s">
        <v>231</v>
      </c>
      <c r="H50">
        <v>1</v>
      </c>
      <c r="I50">
        <v>0</v>
      </c>
      <c r="J50">
        <v>0</v>
      </c>
      <c r="K50">
        <v>0</v>
      </c>
      <c r="L50">
        <v>0</v>
      </c>
    </row>
    <row r="51" spans="1:12" x14ac:dyDescent="0.35">
      <c r="A51" t="s">
        <v>254</v>
      </c>
      <c r="B51" s="7">
        <v>43682.551562499997</v>
      </c>
      <c r="C51" t="s">
        <v>24</v>
      </c>
      <c r="D51" t="s">
        <v>229</v>
      </c>
      <c r="E51">
        <v>1</v>
      </c>
      <c r="F51" t="s">
        <v>249</v>
      </c>
      <c r="G51" t="s">
        <v>231</v>
      </c>
      <c r="H51">
        <v>1</v>
      </c>
      <c r="I51">
        <v>0</v>
      </c>
      <c r="J51">
        <v>0</v>
      </c>
      <c r="K51">
        <v>0</v>
      </c>
      <c r="L51">
        <v>0</v>
      </c>
    </row>
    <row r="52" spans="1:12" x14ac:dyDescent="0.35">
      <c r="A52" t="s">
        <v>254</v>
      </c>
      <c r="B52" s="7">
        <v>43682.551562499997</v>
      </c>
      <c r="C52" t="s">
        <v>24</v>
      </c>
      <c r="D52" t="s">
        <v>34</v>
      </c>
      <c r="E52">
        <v>1</v>
      </c>
      <c r="F52" t="s">
        <v>249</v>
      </c>
      <c r="G52" t="s">
        <v>231</v>
      </c>
      <c r="H52">
        <v>1</v>
      </c>
      <c r="I52">
        <v>0</v>
      </c>
      <c r="J52">
        <v>0</v>
      </c>
      <c r="K52">
        <v>0</v>
      </c>
      <c r="L52">
        <v>0</v>
      </c>
    </row>
    <row r="53" spans="1:12" x14ac:dyDescent="0.35">
      <c r="A53" t="s">
        <v>254</v>
      </c>
      <c r="B53" s="7">
        <v>43682.551562499997</v>
      </c>
      <c r="C53" t="s">
        <v>24</v>
      </c>
      <c r="D53" t="s">
        <v>34</v>
      </c>
      <c r="E53">
        <v>1</v>
      </c>
      <c r="F53" t="s">
        <v>249</v>
      </c>
      <c r="G53" t="s">
        <v>231</v>
      </c>
      <c r="H53">
        <v>1</v>
      </c>
      <c r="I53">
        <v>0</v>
      </c>
      <c r="J53">
        <v>0</v>
      </c>
      <c r="K53">
        <v>0</v>
      </c>
      <c r="L53">
        <v>0</v>
      </c>
    </row>
    <row r="54" spans="1:12" x14ac:dyDescent="0.35">
      <c r="A54" t="s">
        <v>254</v>
      </c>
      <c r="B54" s="7">
        <v>43682.551562499997</v>
      </c>
      <c r="C54" t="s">
        <v>24</v>
      </c>
      <c r="D54" t="s">
        <v>233</v>
      </c>
      <c r="E54">
        <v>1</v>
      </c>
      <c r="F54" t="s">
        <v>249</v>
      </c>
      <c r="G54" t="s">
        <v>231</v>
      </c>
      <c r="H54">
        <v>1</v>
      </c>
      <c r="I54">
        <v>0</v>
      </c>
      <c r="J54">
        <v>0</v>
      </c>
      <c r="K54">
        <v>0</v>
      </c>
      <c r="L54">
        <v>0</v>
      </c>
    </row>
    <row r="55" spans="1:12" x14ac:dyDescent="0.35">
      <c r="A55" t="s">
        <v>254</v>
      </c>
      <c r="B55" s="7">
        <v>43682.551562499997</v>
      </c>
      <c r="C55" t="s">
        <v>24</v>
      </c>
      <c r="D55" t="s">
        <v>233</v>
      </c>
      <c r="E55">
        <v>1</v>
      </c>
      <c r="F55" t="s">
        <v>236</v>
      </c>
      <c r="G55" t="s">
        <v>237</v>
      </c>
      <c r="H55">
        <v>1</v>
      </c>
      <c r="I55">
        <v>0</v>
      </c>
      <c r="J55">
        <v>0</v>
      </c>
      <c r="K55">
        <v>0</v>
      </c>
      <c r="L55">
        <v>0</v>
      </c>
    </row>
    <row r="56" spans="1:12" x14ac:dyDescent="0.35">
      <c r="A56" t="s">
        <v>254</v>
      </c>
      <c r="B56" s="7">
        <v>43682.551562499997</v>
      </c>
      <c r="C56" t="s">
        <v>24</v>
      </c>
      <c r="D56" t="s">
        <v>238</v>
      </c>
      <c r="E56">
        <v>1</v>
      </c>
      <c r="F56" t="s">
        <v>239</v>
      </c>
      <c r="G56" t="s">
        <v>237</v>
      </c>
      <c r="H56">
        <v>1</v>
      </c>
      <c r="I56">
        <v>0</v>
      </c>
      <c r="J56">
        <v>0</v>
      </c>
      <c r="K56">
        <v>0</v>
      </c>
      <c r="L56">
        <v>0</v>
      </c>
    </row>
    <row r="57" spans="1:12" x14ac:dyDescent="0.35">
      <c r="A57" t="s">
        <v>254</v>
      </c>
      <c r="B57" s="7">
        <v>43682.551562499997</v>
      </c>
      <c r="C57" t="s">
        <v>24</v>
      </c>
      <c r="D57" t="s">
        <v>229</v>
      </c>
      <c r="E57">
        <v>1</v>
      </c>
      <c r="F57" t="s">
        <v>242</v>
      </c>
      <c r="G57" t="s">
        <v>231</v>
      </c>
      <c r="H57">
        <v>1</v>
      </c>
      <c r="I57">
        <v>0</v>
      </c>
      <c r="J57">
        <v>0</v>
      </c>
      <c r="K57">
        <v>0</v>
      </c>
      <c r="L57">
        <v>0</v>
      </c>
    </row>
    <row r="58" spans="1:12" x14ac:dyDescent="0.35">
      <c r="A58" t="s">
        <v>254</v>
      </c>
      <c r="B58" s="7">
        <v>43682.551562499997</v>
      </c>
      <c r="C58" t="s">
        <v>24</v>
      </c>
      <c r="D58" t="s">
        <v>233</v>
      </c>
      <c r="E58">
        <v>1</v>
      </c>
      <c r="F58" t="s">
        <v>242</v>
      </c>
      <c r="G58" t="s">
        <v>231</v>
      </c>
      <c r="H58">
        <v>1</v>
      </c>
      <c r="I58">
        <v>0</v>
      </c>
      <c r="J58">
        <v>0</v>
      </c>
      <c r="K58">
        <v>0</v>
      </c>
      <c r="L58">
        <v>0</v>
      </c>
    </row>
    <row r="59" spans="1:12" x14ac:dyDescent="0.35">
      <c r="A59" t="s">
        <v>254</v>
      </c>
      <c r="B59" s="7">
        <v>43682.551562499997</v>
      </c>
      <c r="C59" t="s">
        <v>24</v>
      </c>
      <c r="D59" t="s">
        <v>34</v>
      </c>
      <c r="E59">
        <v>1</v>
      </c>
      <c r="F59" t="s">
        <v>242</v>
      </c>
      <c r="G59" t="s">
        <v>231</v>
      </c>
      <c r="H59">
        <v>1</v>
      </c>
      <c r="I59">
        <v>0</v>
      </c>
      <c r="J59">
        <v>0</v>
      </c>
      <c r="K59">
        <v>0</v>
      </c>
      <c r="L59">
        <v>0</v>
      </c>
    </row>
    <row r="60" spans="1:12" x14ac:dyDescent="0.35">
      <c r="A60" t="s">
        <v>256</v>
      </c>
      <c r="B60" s="7">
        <v>43683.551562499997</v>
      </c>
      <c r="C60" t="s">
        <v>24</v>
      </c>
      <c r="D60" t="s">
        <v>31</v>
      </c>
      <c r="E60">
        <v>1</v>
      </c>
      <c r="F60" t="s">
        <v>230</v>
      </c>
      <c r="G60" t="s">
        <v>231</v>
      </c>
      <c r="H60">
        <v>1</v>
      </c>
      <c r="I60">
        <v>0</v>
      </c>
      <c r="J60">
        <v>0</v>
      </c>
      <c r="K60">
        <v>0</v>
      </c>
      <c r="L60">
        <v>0</v>
      </c>
    </row>
    <row r="61" spans="1:12" x14ac:dyDescent="0.35">
      <c r="A61" t="s">
        <v>257</v>
      </c>
      <c r="B61" s="7">
        <v>43683.551562499997</v>
      </c>
      <c r="C61" t="s">
        <v>228</v>
      </c>
      <c r="D61" t="s">
        <v>235</v>
      </c>
      <c r="E61">
        <v>1</v>
      </c>
      <c r="F61" t="s">
        <v>230</v>
      </c>
      <c r="G61" t="s">
        <v>231</v>
      </c>
      <c r="H61">
        <v>0</v>
      </c>
      <c r="I61">
        <v>1</v>
      </c>
      <c r="J61">
        <v>0</v>
      </c>
      <c r="K61">
        <v>0</v>
      </c>
      <c r="L61">
        <v>0</v>
      </c>
    </row>
    <row r="62" spans="1:12" x14ac:dyDescent="0.35">
      <c r="A62" t="s">
        <v>256</v>
      </c>
      <c r="B62" s="7">
        <v>43683.551562499997</v>
      </c>
      <c r="C62" t="s">
        <v>24</v>
      </c>
      <c r="D62" t="s">
        <v>233</v>
      </c>
      <c r="E62">
        <v>1</v>
      </c>
      <c r="F62" t="s">
        <v>230</v>
      </c>
      <c r="G62" t="s">
        <v>231</v>
      </c>
      <c r="H62">
        <v>1</v>
      </c>
      <c r="I62">
        <v>0</v>
      </c>
      <c r="J62">
        <v>0</v>
      </c>
      <c r="K62">
        <v>0</v>
      </c>
      <c r="L62">
        <v>0</v>
      </c>
    </row>
    <row r="63" spans="1:12" x14ac:dyDescent="0.35">
      <c r="A63" t="s">
        <v>256</v>
      </c>
      <c r="B63" s="7">
        <v>43683.551562499997</v>
      </c>
      <c r="C63" t="s">
        <v>24</v>
      </c>
      <c r="D63" t="s">
        <v>31</v>
      </c>
      <c r="E63">
        <v>1</v>
      </c>
      <c r="F63" t="s">
        <v>230</v>
      </c>
      <c r="G63" t="s">
        <v>231</v>
      </c>
      <c r="H63">
        <v>1</v>
      </c>
      <c r="I63">
        <v>0</v>
      </c>
      <c r="J63">
        <v>0</v>
      </c>
      <c r="K63">
        <v>0</v>
      </c>
      <c r="L63">
        <v>0</v>
      </c>
    </row>
    <row r="64" spans="1:12" x14ac:dyDescent="0.35">
      <c r="A64" t="s">
        <v>256</v>
      </c>
      <c r="B64" s="7">
        <v>43683.551562499997</v>
      </c>
      <c r="C64" t="s">
        <v>24</v>
      </c>
      <c r="D64" t="s">
        <v>235</v>
      </c>
      <c r="E64">
        <v>1</v>
      </c>
      <c r="F64" t="s">
        <v>236</v>
      </c>
      <c r="G64" t="s">
        <v>237</v>
      </c>
      <c r="H64">
        <v>1</v>
      </c>
      <c r="I64">
        <v>0</v>
      </c>
      <c r="J64">
        <v>0</v>
      </c>
      <c r="K64">
        <v>0</v>
      </c>
      <c r="L64">
        <v>0</v>
      </c>
    </row>
    <row r="65" spans="1:12" x14ac:dyDescent="0.35">
      <c r="A65" t="s">
        <v>256</v>
      </c>
      <c r="B65" s="7">
        <v>43683.551562499997</v>
      </c>
      <c r="C65" t="s">
        <v>24</v>
      </c>
      <c r="D65" t="s">
        <v>229</v>
      </c>
      <c r="E65">
        <v>1</v>
      </c>
      <c r="F65" t="s">
        <v>236</v>
      </c>
      <c r="G65" t="s">
        <v>237</v>
      </c>
      <c r="H65">
        <v>1</v>
      </c>
      <c r="I65">
        <v>0</v>
      </c>
      <c r="J65">
        <v>0</v>
      </c>
      <c r="K65">
        <v>0</v>
      </c>
      <c r="L65">
        <v>0</v>
      </c>
    </row>
    <row r="66" spans="1:12" x14ac:dyDescent="0.35">
      <c r="A66" t="s">
        <v>258</v>
      </c>
      <c r="B66" s="7">
        <v>43683.551562499997</v>
      </c>
      <c r="C66" t="s">
        <v>108</v>
      </c>
      <c r="D66" t="s">
        <v>238</v>
      </c>
      <c r="E66">
        <v>1</v>
      </c>
      <c r="F66" t="s">
        <v>236</v>
      </c>
      <c r="G66" t="s">
        <v>237</v>
      </c>
      <c r="H66">
        <v>0</v>
      </c>
      <c r="I66">
        <v>0</v>
      </c>
      <c r="J66">
        <v>1</v>
      </c>
      <c r="K66">
        <v>0</v>
      </c>
      <c r="L66">
        <v>0</v>
      </c>
    </row>
    <row r="67" spans="1:12" x14ac:dyDescent="0.35">
      <c r="A67" t="s">
        <v>256</v>
      </c>
      <c r="B67" s="7">
        <v>43683.551562499997</v>
      </c>
      <c r="C67" t="s">
        <v>24</v>
      </c>
      <c r="D67" t="s">
        <v>235</v>
      </c>
      <c r="E67">
        <v>1</v>
      </c>
      <c r="F67" t="s">
        <v>239</v>
      </c>
      <c r="G67" t="s">
        <v>237</v>
      </c>
      <c r="H67">
        <v>1</v>
      </c>
      <c r="I67">
        <v>0</v>
      </c>
      <c r="J67">
        <v>0</v>
      </c>
      <c r="K67">
        <v>0</v>
      </c>
      <c r="L67">
        <v>0</v>
      </c>
    </row>
    <row r="68" spans="1:12" x14ac:dyDescent="0.35">
      <c r="A68" t="s">
        <v>256</v>
      </c>
      <c r="B68" s="7">
        <v>43683.551562499997</v>
      </c>
      <c r="C68" t="s">
        <v>24</v>
      </c>
      <c r="D68" t="s">
        <v>233</v>
      </c>
      <c r="E68">
        <v>1</v>
      </c>
      <c r="F68" t="s">
        <v>239</v>
      </c>
      <c r="G68" t="s">
        <v>237</v>
      </c>
      <c r="H68">
        <v>1</v>
      </c>
      <c r="I68">
        <v>0</v>
      </c>
      <c r="J68">
        <v>0</v>
      </c>
      <c r="K68">
        <v>0</v>
      </c>
      <c r="L68">
        <v>0</v>
      </c>
    </row>
    <row r="69" spans="1:12" x14ac:dyDescent="0.35">
      <c r="A69" t="s">
        <v>259</v>
      </c>
      <c r="B69" s="7">
        <v>43683.551562499997</v>
      </c>
      <c r="C69" t="s">
        <v>85</v>
      </c>
      <c r="D69" t="s">
        <v>233</v>
      </c>
      <c r="E69">
        <v>1</v>
      </c>
      <c r="F69" t="s">
        <v>239</v>
      </c>
      <c r="G69" t="s">
        <v>237</v>
      </c>
      <c r="H69">
        <v>0</v>
      </c>
      <c r="I69">
        <v>0</v>
      </c>
      <c r="J69">
        <v>0</v>
      </c>
      <c r="K69">
        <v>1</v>
      </c>
      <c r="L69">
        <v>0</v>
      </c>
    </row>
    <row r="70" spans="1:12" x14ac:dyDescent="0.35">
      <c r="A70" t="s">
        <v>256</v>
      </c>
      <c r="B70" s="7">
        <v>43683.551562499997</v>
      </c>
      <c r="C70" t="s">
        <v>24</v>
      </c>
      <c r="D70" t="s">
        <v>235</v>
      </c>
      <c r="E70">
        <v>1</v>
      </c>
      <c r="F70" t="s">
        <v>239</v>
      </c>
      <c r="G70" t="s">
        <v>237</v>
      </c>
      <c r="H70">
        <v>1</v>
      </c>
      <c r="I70">
        <v>0</v>
      </c>
      <c r="J70">
        <v>0</v>
      </c>
      <c r="K70">
        <v>0</v>
      </c>
      <c r="L70">
        <v>0</v>
      </c>
    </row>
    <row r="71" spans="1:12" x14ac:dyDescent="0.35">
      <c r="A71" t="s">
        <v>256</v>
      </c>
      <c r="B71" s="7">
        <v>43683.551562499997</v>
      </c>
      <c r="C71" t="s">
        <v>24</v>
      </c>
      <c r="D71" t="s">
        <v>238</v>
      </c>
      <c r="E71">
        <v>1</v>
      </c>
      <c r="F71" t="s">
        <v>240</v>
      </c>
      <c r="G71" t="s">
        <v>237</v>
      </c>
      <c r="H71">
        <v>1</v>
      </c>
      <c r="I71">
        <v>0</v>
      </c>
      <c r="J71">
        <v>0</v>
      </c>
      <c r="K71">
        <v>0</v>
      </c>
      <c r="L71">
        <v>0</v>
      </c>
    </row>
    <row r="72" spans="1:12" x14ac:dyDescent="0.35">
      <c r="A72" t="s">
        <v>258</v>
      </c>
      <c r="B72" s="7">
        <v>43683.551562499997</v>
      </c>
      <c r="C72" t="s">
        <v>108</v>
      </c>
      <c r="D72" t="s">
        <v>233</v>
      </c>
      <c r="E72">
        <v>1</v>
      </c>
      <c r="F72" t="s">
        <v>240</v>
      </c>
      <c r="G72" t="s">
        <v>237</v>
      </c>
      <c r="H72">
        <v>0</v>
      </c>
      <c r="I72">
        <v>0</v>
      </c>
      <c r="J72">
        <v>1</v>
      </c>
      <c r="K72">
        <v>0</v>
      </c>
      <c r="L72">
        <v>0</v>
      </c>
    </row>
    <row r="73" spans="1:12" x14ac:dyDescent="0.35">
      <c r="A73" t="s">
        <v>256</v>
      </c>
      <c r="B73" s="7">
        <v>43683.551562499997</v>
      </c>
      <c r="C73" t="s">
        <v>24</v>
      </c>
      <c r="D73" t="s">
        <v>31</v>
      </c>
      <c r="E73">
        <v>1</v>
      </c>
      <c r="F73" t="s">
        <v>242</v>
      </c>
      <c r="G73" t="s">
        <v>231</v>
      </c>
      <c r="H73">
        <v>1</v>
      </c>
      <c r="I73">
        <v>0</v>
      </c>
      <c r="J73">
        <v>0</v>
      </c>
      <c r="K73">
        <v>0</v>
      </c>
      <c r="L73">
        <v>0</v>
      </c>
    </row>
    <row r="74" spans="1:12" x14ac:dyDescent="0.35">
      <c r="A74" t="s">
        <v>257</v>
      </c>
      <c r="B74" s="7">
        <v>43683.551562499997</v>
      </c>
      <c r="C74" t="s">
        <v>228</v>
      </c>
      <c r="D74" t="s">
        <v>235</v>
      </c>
      <c r="E74">
        <v>1</v>
      </c>
      <c r="F74" t="s">
        <v>242</v>
      </c>
      <c r="G74" t="s">
        <v>231</v>
      </c>
      <c r="H74">
        <v>0</v>
      </c>
      <c r="I74">
        <v>1</v>
      </c>
      <c r="J74">
        <v>0</v>
      </c>
      <c r="K74">
        <v>0</v>
      </c>
      <c r="L74">
        <v>0</v>
      </c>
    </row>
    <row r="75" spans="1:12" x14ac:dyDescent="0.35">
      <c r="A75" t="s">
        <v>260</v>
      </c>
      <c r="B75" s="7">
        <v>43684.551562499997</v>
      </c>
      <c r="C75" t="s">
        <v>24</v>
      </c>
      <c r="D75" t="s">
        <v>34</v>
      </c>
      <c r="E75">
        <v>1</v>
      </c>
      <c r="F75" t="s">
        <v>230</v>
      </c>
      <c r="G75" t="s">
        <v>231</v>
      </c>
      <c r="H75">
        <v>1</v>
      </c>
      <c r="I75">
        <v>0</v>
      </c>
      <c r="J75">
        <v>0</v>
      </c>
      <c r="K75">
        <v>0</v>
      </c>
      <c r="L75">
        <v>0</v>
      </c>
    </row>
    <row r="76" spans="1:12" x14ac:dyDescent="0.35">
      <c r="A76" t="s">
        <v>260</v>
      </c>
      <c r="B76" s="7">
        <v>43684.551562499997</v>
      </c>
      <c r="C76" t="s">
        <v>24</v>
      </c>
      <c r="D76" t="s">
        <v>31</v>
      </c>
      <c r="E76">
        <v>1</v>
      </c>
      <c r="F76" t="s">
        <v>230</v>
      </c>
      <c r="G76" t="s">
        <v>231</v>
      </c>
      <c r="H76">
        <v>1</v>
      </c>
      <c r="I76">
        <v>0</v>
      </c>
      <c r="J76">
        <v>0</v>
      </c>
      <c r="K76">
        <v>0</v>
      </c>
      <c r="L76">
        <v>0</v>
      </c>
    </row>
    <row r="77" spans="1:12" x14ac:dyDescent="0.35">
      <c r="A77" t="s">
        <v>260</v>
      </c>
      <c r="B77" s="7">
        <v>43684.551562499997</v>
      </c>
      <c r="C77" t="s">
        <v>24</v>
      </c>
      <c r="D77" t="s">
        <v>229</v>
      </c>
      <c r="E77">
        <v>1</v>
      </c>
      <c r="F77" t="s">
        <v>230</v>
      </c>
      <c r="G77" t="s">
        <v>231</v>
      </c>
      <c r="H77">
        <v>1</v>
      </c>
      <c r="I77">
        <v>0</v>
      </c>
      <c r="J77">
        <v>0</v>
      </c>
      <c r="K77">
        <v>0</v>
      </c>
      <c r="L77">
        <v>0</v>
      </c>
    </row>
    <row r="78" spans="1:12" x14ac:dyDescent="0.35">
      <c r="A78" t="s">
        <v>261</v>
      </c>
      <c r="B78" s="7">
        <v>43684.551562499997</v>
      </c>
      <c r="C78" t="s">
        <v>85</v>
      </c>
      <c r="D78" t="s">
        <v>31</v>
      </c>
      <c r="E78">
        <v>1</v>
      </c>
      <c r="F78" t="s">
        <v>249</v>
      </c>
      <c r="G78" t="s">
        <v>231</v>
      </c>
      <c r="H78">
        <v>0</v>
      </c>
      <c r="I78">
        <v>0</v>
      </c>
      <c r="J78">
        <v>0</v>
      </c>
      <c r="K78">
        <v>1</v>
      </c>
      <c r="L78">
        <v>0</v>
      </c>
    </row>
    <row r="79" spans="1:12" x14ac:dyDescent="0.35">
      <c r="A79" t="s">
        <v>260</v>
      </c>
      <c r="B79" s="7">
        <v>43684.551562499997</v>
      </c>
      <c r="C79" t="s">
        <v>24</v>
      </c>
      <c r="D79" t="s">
        <v>31</v>
      </c>
      <c r="E79">
        <v>1</v>
      </c>
      <c r="F79" t="s">
        <v>249</v>
      </c>
      <c r="G79" t="s">
        <v>231</v>
      </c>
      <c r="H79">
        <v>1</v>
      </c>
      <c r="I79">
        <v>0</v>
      </c>
      <c r="J79">
        <v>0</v>
      </c>
      <c r="K79">
        <v>0</v>
      </c>
      <c r="L79">
        <v>0</v>
      </c>
    </row>
    <row r="80" spans="1:12" x14ac:dyDescent="0.35">
      <c r="A80" t="s">
        <v>262</v>
      </c>
      <c r="B80" s="7">
        <v>43684.551562499997</v>
      </c>
      <c r="C80" t="s">
        <v>228</v>
      </c>
      <c r="D80" t="s">
        <v>233</v>
      </c>
      <c r="E80">
        <v>1</v>
      </c>
      <c r="F80" t="s">
        <v>249</v>
      </c>
      <c r="G80" t="s">
        <v>231</v>
      </c>
      <c r="H80">
        <v>0</v>
      </c>
      <c r="I80">
        <v>1</v>
      </c>
      <c r="J80">
        <v>0</v>
      </c>
      <c r="K80">
        <v>0</v>
      </c>
      <c r="L80">
        <v>0</v>
      </c>
    </row>
    <row r="81" spans="1:12" x14ac:dyDescent="0.35">
      <c r="A81" t="s">
        <v>260</v>
      </c>
      <c r="B81" s="7">
        <v>43684.551562499997</v>
      </c>
      <c r="C81" t="s">
        <v>24</v>
      </c>
      <c r="D81" t="s">
        <v>238</v>
      </c>
      <c r="E81">
        <v>1</v>
      </c>
      <c r="F81" t="s">
        <v>249</v>
      </c>
      <c r="G81" t="s">
        <v>231</v>
      </c>
      <c r="H81">
        <v>1</v>
      </c>
      <c r="I81">
        <v>0</v>
      </c>
      <c r="J81">
        <v>0</v>
      </c>
      <c r="K81">
        <v>0</v>
      </c>
      <c r="L81">
        <v>0</v>
      </c>
    </row>
    <row r="82" spans="1:12" x14ac:dyDescent="0.35">
      <c r="A82" t="s">
        <v>260</v>
      </c>
      <c r="B82" s="7">
        <v>43684.551562499997</v>
      </c>
      <c r="C82" t="s">
        <v>24</v>
      </c>
      <c r="D82" t="s">
        <v>238</v>
      </c>
      <c r="E82">
        <v>1</v>
      </c>
      <c r="F82" t="s">
        <v>239</v>
      </c>
      <c r="G82" t="s">
        <v>237</v>
      </c>
      <c r="H82">
        <v>1</v>
      </c>
      <c r="I82">
        <v>0</v>
      </c>
      <c r="J82">
        <v>0</v>
      </c>
      <c r="K82">
        <v>0</v>
      </c>
      <c r="L82">
        <v>0</v>
      </c>
    </row>
    <row r="83" spans="1:12" x14ac:dyDescent="0.35">
      <c r="A83" t="s">
        <v>260</v>
      </c>
      <c r="B83" s="7">
        <v>43684.551562499997</v>
      </c>
      <c r="C83" t="s">
        <v>24</v>
      </c>
      <c r="D83" t="s">
        <v>229</v>
      </c>
      <c r="E83">
        <v>1</v>
      </c>
      <c r="F83" t="s">
        <v>240</v>
      </c>
      <c r="G83" t="s">
        <v>237</v>
      </c>
      <c r="H83">
        <v>1</v>
      </c>
      <c r="I83">
        <v>0</v>
      </c>
      <c r="J83">
        <v>0</v>
      </c>
      <c r="K83">
        <v>0</v>
      </c>
      <c r="L83">
        <v>0</v>
      </c>
    </row>
    <row r="84" spans="1:12" x14ac:dyDescent="0.35">
      <c r="A84" t="s">
        <v>262</v>
      </c>
      <c r="B84" s="7">
        <v>43684.551562499997</v>
      </c>
      <c r="C84" t="s">
        <v>228</v>
      </c>
      <c r="D84" t="s">
        <v>235</v>
      </c>
      <c r="E84">
        <v>1</v>
      </c>
      <c r="F84" t="s">
        <v>240</v>
      </c>
      <c r="G84" t="s">
        <v>237</v>
      </c>
      <c r="H84">
        <v>0</v>
      </c>
      <c r="I84">
        <v>1</v>
      </c>
      <c r="J84">
        <v>0</v>
      </c>
      <c r="K84">
        <v>0</v>
      </c>
      <c r="L84">
        <v>0</v>
      </c>
    </row>
    <row r="85" spans="1:12" x14ac:dyDescent="0.35">
      <c r="A85" t="s">
        <v>260</v>
      </c>
      <c r="B85" s="7">
        <v>43684.551562499997</v>
      </c>
      <c r="C85" t="s">
        <v>24</v>
      </c>
      <c r="D85" t="s">
        <v>31</v>
      </c>
      <c r="E85">
        <v>1</v>
      </c>
      <c r="F85" t="s">
        <v>240</v>
      </c>
      <c r="G85" t="s">
        <v>237</v>
      </c>
      <c r="H85">
        <v>1</v>
      </c>
      <c r="I85">
        <v>0</v>
      </c>
      <c r="J85">
        <v>0</v>
      </c>
      <c r="K85">
        <v>0</v>
      </c>
      <c r="L85">
        <v>0</v>
      </c>
    </row>
    <row r="86" spans="1:12" x14ac:dyDescent="0.35">
      <c r="A86" t="s">
        <v>260</v>
      </c>
      <c r="B86" s="7">
        <v>43684.551562499997</v>
      </c>
      <c r="C86" t="s">
        <v>24</v>
      </c>
      <c r="D86" t="s">
        <v>229</v>
      </c>
      <c r="E86">
        <v>1</v>
      </c>
      <c r="F86" t="s">
        <v>240</v>
      </c>
      <c r="G86" t="s">
        <v>237</v>
      </c>
      <c r="H86">
        <v>1</v>
      </c>
      <c r="I86">
        <v>0</v>
      </c>
      <c r="J86">
        <v>0</v>
      </c>
      <c r="K86">
        <v>0</v>
      </c>
      <c r="L86">
        <v>0</v>
      </c>
    </row>
    <row r="87" spans="1:12" x14ac:dyDescent="0.35">
      <c r="A87" t="s">
        <v>260</v>
      </c>
      <c r="B87" s="7">
        <v>43684.551562499997</v>
      </c>
      <c r="C87" t="s">
        <v>24</v>
      </c>
      <c r="D87" t="s">
        <v>34</v>
      </c>
      <c r="E87">
        <v>1</v>
      </c>
      <c r="F87" t="s">
        <v>240</v>
      </c>
      <c r="G87" t="s">
        <v>237</v>
      </c>
      <c r="H87">
        <v>1</v>
      </c>
      <c r="I87">
        <v>0</v>
      </c>
      <c r="J87">
        <v>0</v>
      </c>
      <c r="K87">
        <v>0</v>
      </c>
      <c r="L87">
        <v>0</v>
      </c>
    </row>
    <row r="88" spans="1:12" x14ac:dyDescent="0.35">
      <c r="A88" t="s">
        <v>263</v>
      </c>
      <c r="B88" s="7">
        <v>43685.551562499997</v>
      </c>
      <c r="C88" t="s">
        <v>24</v>
      </c>
      <c r="D88" t="s">
        <v>235</v>
      </c>
      <c r="E88">
        <v>1</v>
      </c>
      <c r="F88" t="s">
        <v>230</v>
      </c>
      <c r="G88" t="s">
        <v>231</v>
      </c>
      <c r="H88">
        <v>1</v>
      </c>
      <c r="I88">
        <v>0</v>
      </c>
      <c r="J88">
        <v>0</v>
      </c>
      <c r="K88">
        <v>0</v>
      </c>
      <c r="L88">
        <v>0</v>
      </c>
    </row>
    <row r="89" spans="1:12" x14ac:dyDescent="0.35">
      <c r="A89" t="s">
        <v>263</v>
      </c>
      <c r="B89" s="7">
        <v>43685.551562499997</v>
      </c>
      <c r="C89" t="s">
        <v>24</v>
      </c>
      <c r="D89" t="s">
        <v>238</v>
      </c>
      <c r="E89">
        <v>1</v>
      </c>
      <c r="F89" t="s">
        <v>230</v>
      </c>
      <c r="G89" t="s">
        <v>231</v>
      </c>
      <c r="H89">
        <v>1</v>
      </c>
      <c r="I89">
        <v>0</v>
      </c>
      <c r="J89">
        <v>0</v>
      </c>
      <c r="K89">
        <v>0</v>
      </c>
      <c r="L89">
        <v>0</v>
      </c>
    </row>
    <row r="90" spans="1:12" x14ac:dyDescent="0.35">
      <c r="A90" t="s">
        <v>263</v>
      </c>
      <c r="B90" s="7">
        <v>43685.551562499997</v>
      </c>
      <c r="C90" t="s">
        <v>24</v>
      </c>
      <c r="D90" t="s">
        <v>34</v>
      </c>
      <c r="E90">
        <v>1</v>
      </c>
      <c r="F90" t="s">
        <v>230</v>
      </c>
      <c r="G90" t="s">
        <v>231</v>
      </c>
      <c r="H90">
        <v>1</v>
      </c>
      <c r="I90">
        <v>0</v>
      </c>
      <c r="J90">
        <v>0</v>
      </c>
      <c r="K90">
        <v>0</v>
      </c>
      <c r="L90">
        <v>0</v>
      </c>
    </row>
    <row r="91" spans="1:12" x14ac:dyDescent="0.35">
      <c r="A91" t="s">
        <v>263</v>
      </c>
      <c r="B91" s="7">
        <v>43685.551562499997</v>
      </c>
      <c r="C91" t="s">
        <v>24</v>
      </c>
      <c r="D91" t="s">
        <v>233</v>
      </c>
      <c r="E91">
        <v>1</v>
      </c>
      <c r="F91" t="s">
        <v>249</v>
      </c>
      <c r="G91" t="s">
        <v>231</v>
      </c>
      <c r="H91">
        <v>1</v>
      </c>
      <c r="I91">
        <v>0</v>
      </c>
      <c r="J91">
        <v>0</v>
      </c>
      <c r="K91">
        <v>0</v>
      </c>
      <c r="L91">
        <v>0</v>
      </c>
    </row>
    <row r="92" spans="1:12" x14ac:dyDescent="0.35">
      <c r="A92" t="s">
        <v>263</v>
      </c>
      <c r="B92" s="7">
        <v>43685.551562499997</v>
      </c>
      <c r="C92" t="s">
        <v>24</v>
      </c>
      <c r="D92" t="s">
        <v>229</v>
      </c>
      <c r="E92">
        <v>1</v>
      </c>
      <c r="F92" t="s">
        <v>249</v>
      </c>
      <c r="G92" t="s">
        <v>231</v>
      </c>
      <c r="H92">
        <v>1</v>
      </c>
      <c r="I92">
        <v>0</v>
      </c>
      <c r="J92">
        <v>0</v>
      </c>
      <c r="K92">
        <v>0</v>
      </c>
      <c r="L92">
        <v>0</v>
      </c>
    </row>
    <row r="93" spans="1:12" x14ac:dyDescent="0.35">
      <c r="A93" t="s">
        <v>263</v>
      </c>
      <c r="B93" s="7">
        <v>43685.551562499997</v>
      </c>
      <c r="C93" t="s">
        <v>24</v>
      </c>
      <c r="D93" t="s">
        <v>34</v>
      </c>
      <c r="E93">
        <v>1</v>
      </c>
      <c r="F93" t="s">
        <v>249</v>
      </c>
      <c r="G93" t="s">
        <v>231</v>
      </c>
      <c r="H93">
        <v>1</v>
      </c>
      <c r="I93">
        <v>0</v>
      </c>
      <c r="J93">
        <v>0</v>
      </c>
      <c r="K93">
        <v>0</v>
      </c>
      <c r="L93">
        <v>0</v>
      </c>
    </row>
    <row r="94" spans="1:12" x14ac:dyDescent="0.35">
      <c r="A94" t="s">
        <v>264</v>
      </c>
      <c r="B94" s="7">
        <v>43685.551562499997</v>
      </c>
      <c r="C94" t="s">
        <v>108</v>
      </c>
      <c r="D94" t="s">
        <v>238</v>
      </c>
      <c r="E94">
        <v>1</v>
      </c>
      <c r="F94" t="s">
        <v>249</v>
      </c>
      <c r="G94" t="s">
        <v>231</v>
      </c>
      <c r="H94">
        <v>0</v>
      </c>
      <c r="I94">
        <v>0</v>
      </c>
      <c r="J94">
        <v>1</v>
      </c>
      <c r="K94">
        <v>0</v>
      </c>
      <c r="L94">
        <v>0</v>
      </c>
    </row>
    <row r="95" spans="1:12" x14ac:dyDescent="0.35">
      <c r="A95" t="s">
        <v>264</v>
      </c>
      <c r="B95" s="7">
        <v>43685.551562499997</v>
      </c>
      <c r="C95" t="s">
        <v>108</v>
      </c>
      <c r="D95" t="s">
        <v>34</v>
      </c>
      <c r="E95">
        <v>1</v>
      </c>
      <c r="F95" t="s">
        <v>236</v>
      </c>
      <c r="G95" t="s">
        <v>237</v>
      </c>
      <c r="H95">
        <v>0</v>
      </c>
      <c r="I95">
        <v>0</v>
      </c>
      <c r="J95">
        <v>1</v>
      </c>
      <c r="K95">
        <v>0</v>
      </c>
      <c r="L95">
        <v>0</v>
      </c>
    </row>
    <row r="96" spans="1:12" x14ac:dyDescent="0.35">
      <c r="A96" t="s">
        <v>265</v>
      </c>
      <c r="B96" s="7">
        <v>43685.551562499997</v>
      </c>
      <c r="C96" t="s">
        <v>85</v>
      </c>
      <c r="D96" t="s">
        <v>34</v>
      </c>
      <c r="E96">
        <v>1</v>
      </c>
      <c r="F96" t="s">
        <v>236</v>
      </c>
      <c r="G96" t="s">
        <v>237</v>
      </c>
      <c r="H96">
        <v>0</v>
      </c>
      <c r="I96">
        <v>0</v>
      </c>
      <c r="J96">
        <v>0</v>
      </c>
      <c r="K96">
        <v>1</v>
      </c>
      <c r="L96">
        <v>0</v>
      </c>
    </row>
    <row r="97" spans="1:12" x14ac:dyDescent="0.35">
      <c r="A97" t="s">
        <v>263</v>
      </c>
      <c r="B97" s="7">
        <v>43685.551562499997</v>
      </c>
      <c r="C97" t="s">
        <v>24</v>
      </c>
      <c r="D97" t="s">
        <v>34</v>
      </c>
      <c r="E97">
        <v>1</v>
      </c>
      <c r="F97" t="s">
        <v>240</v>
      </c>
      <c r="G97" t="s">
        <v>237</v>
      </c>
      <c r="H97">
        <v>1</v>
      </c>
      <c r="I97">
        <v>0</v>
      </c>
      <c r="J97">
        <v>0</v>
      </c>
      <c r="K97">
        <v>0</v>
      </c>
      <c r="L97">
        <v>0</v>
      </c>
    </row>
    <row r="98" spans="1:12" x14ac:dyDescent="0.35">
      <c r="A98" t="s">
        <v>263</v>
      </c>
      <c r="B98" s="7">
        <v>43685.551562499997</v>
      </c>
      <c r="C98" t="s">
        <v>24</v>
      </c>
      <c r="D98" t="s">
        <v>34</v>
      </c>
      <c r="E98">
        <v>1</v>
      </c>
      <c r="F98" t="s">
        <v>242</v>
      </c>
      <c r="G98" t="s">
        <v>231</v>
      </c>
      <c r="H98">
        <v>1</v>
      </c>
      <c r="I98">
        <v>0</v>
      </c>
      <c r="J98">
        <v>0</v>
      </c>
      <c r="K98">
        <v>0</v>
      </c>
      <c r="L98">
        <v>0</v>
      </c>
    </row>
    <row r="99" spans="1:12" x14ac:dyDescent="0.35">
      <c r="A99" t="s">
        <v>263</v>
      </c>
      <c r="B99" s="7">
        <v>43685.551562499997</v>
      </c>
      <c r="C99" t="s">
        <v>24</v>
      </c>
      <c r="D99" t="s">
        <v>34</v>
      </c>
      <c r="E99">
        <v>1</v>
      </c>
      <c r="F99" t="s">
        <v>242</v>
      </c>
      <c r="G99" t="s">
        <v>231</v>
      </c>
      <c r="H99">
        <v>1</v>
      </c>
      <c r="I99">
        <v>0</v>
      </c>
      <c r="J99">
        <v>0</v>
      </c>
      <c r="K99">
        <v>0</v>
      </c>
      <c r="L99">
        <v>0</v>
      </c>
    </row>
    <row r="100" spans="1:12" x14ac:dyDescent="0.35">
      <c r="A100" t="s">
        <v>266</v>
      </c>
      <c r="B100" s="7">
        <v>43686.551562499997</v>
      </c>
      <c r="C100" t="s">
        <v>228</v>
      </c>
      <c r="D100" t="s">
        <v>31</v>
      </c>
      <c r="E100">
        <v>1</v>
      </c>
      <c r="F100" t="s">
        <v>249</v>
      </c>
      <c r="G100" t="s">
        <v>231</v>
      </c>
      <c r="H100">
        <v>0</v>
      </c>
      <c r="I100">
        <v>1</v>
      </c>
      <c r="J100">
        <v>0</v>
      </c>
      <c r="K100">
        <v>0</v>
      </c>
      <c r="L100">
        <v>0</v>
      </c>
    </row>
    <row r="101" spans="1:12" x14ac:dyDescent="0.35">
      <c r="A101" t="s">
        <v>267</v>
      </c>
      <c r="B101" s="7">
        <v>43686.551562499997</v>
      </c>
      <c r="C101" t="s">
        <v>24</v>
      </c>
      <c r="D101" t="s">
        <v>34</v>
      </c>
      <c r="E101">
        <v>1</v>
      </c>
      <c r="F101" t="s">
        <v>249</v>
      </c>
      <c r="G101" t="s">
        <v>231</v>
      </c>
      <c r="H101">
        <v>1</v>
      </c>
      <c r="I101">
        <v>0</v>
      </c>
      <c r="J101">
        <v>0</v>
      </c>
      <c r="K101">
        <v>0</v>
      </c>
      <c r="L101">
        <v>0</v>
      </c>
    </row>
    <row r="102" spans="1:12" x14ac:dyDescent="0.35">
      <c r="A102" t="s">
        <v>267</v>
      </c>
      <c r="B102" s="7">
        <v>43686.551562499997</v>
      </c>
      <c r="C102" t="s">
        <v>24</v>
      </c>
      <c r="D102" t="s">
        <v>233</v>
      </c>
      <c r="E102">
        <v>1</v>
      </c>
      <c r="F102" t="s">
        <v>239</v>
      </c>
      <c r="G102" t="s">
        <v>237</v>
      </c>
      <c r="H102">
        <v>1</v>
      </c>
      <c r="I102">
        <v>0</v>
      </c>
      <c r="J102">
        <v>0</v>
      </c>
      <c r="K102">
        <v>0</v>
      </c>
      <c r="L102">
        <v>0</v>
      </c>
    </row>
    <row r="103" spans="1:12" x14ac:dyDescent="0.35">
      <c r="A103" t="s">
        <v>267</v>
      </c>
      <c r="B103" s="7">
        <v>43686.551562499997</v>
      </c>
      <c r="C103" t="s">
        <v>24</v>
      </c>
      <c r="D103" t="s">
        <v>233</v>
      </c>
      <c r="E103">
        <v>1</v>
      </c>
      <c r="F103" t="s">
        <v>239</v>
      </c>
      <c r="G103" t="s">
        <v>237</v>
      </c>
      <c r="H103">
        <v>1</v>
      </c>
      <c r="I103">
        <v>0</v>
      </c>
      <c r="J103">
        <v>0</v>
      </c>
      <c r="K103">
        <v>0</v>
      </c>
      <c r="L103">
        <v>0</v>
      </c>
    </row>
    <row r="104" spans="1:12" x14ac:dyDescent="0.35">
      <c r="A104" t="s">
        <v>267</v>
      </c>
      <c r="B104" s="7">
        <v>43686.551562499997</v>
      </c>
      <c r="C104" t="s">
        <v>24</v>
      </c>
      <c r="D104" t="s">
        <v>238</v>
      </c>
      <c r="E104">
        <v>1</v>
      </c>
      <c r="F104" t="s">
        <v>242</v>
      </c>
      <c r="G104" t="s">
        <v>231</v>
      </c>
      <c r="H104">
        <v>1</v>
      </c>
      <c r="I104">
        <v>0</v>
      </c>
      <c r="J104">
        <v>0</v>
      </c>
      <c r="K104">
        <v>0</v>
      </c>
      <c r="L104">
        <v>0</v>
      </c>
    </row>
    <row r="105" spans="1:12" x14ac:dyDescent="0.35">
      <c r="A105" t="s">
        <v>268</v>
      </c>
      <c r="B105" s="7">
        <v>43686.551562499997</v>
      </c>
      <c r="C105" t="s">
        <v>85</v>
      </c>
      <c r="D105" t="s">
        <v>238</v>
      </c>
      <c r="E105">
        <v>1</v>
      </c>
      <c r="F105" t="s">
        <v>242</v>
      </c>
      <c r="G105" t="s">
        <v>231</v>
      </c>
      <c r="H105">
        <v>0</v>
      </c>
      <c r="I105">
        <v>0</v>
      </c>
      <c r="J105">
        <v>0</v>
      </c>
      <c r="K105">
        <v>1</v>
      </c>
      <c r="L105">
        <v>0</v>
      </c>
    </row>
    <row r="106" spans="1:12" x14ac:dyDescent="0.35">
      <c r="A106" t="s">
        <v>269</v>
      </c>
      <c r="B106" s="7">
        <v>43687.551562499997</v>
      </c>
      <c r="C106" t="s">
        <v>24</v>
      </c>
      <c r="D106" t="s">
        <v>31</v>
      </c>
      <c r="E106">
        <v>1</v>
      </c>
      <c r="F106" t="s">
        <v>230</v>
      </c>
      <c r="G106" t="s">
        <v>231</v>
      </c>
      <c r="H106">
        <v>1</v>
      </c>
      <c r="I106">
        <v>0</v>
      </c>
      <c r="J106">
        <v>0</v>
      </c>
      <c r="K106">
        <v>0</v>
      </c>
      <c r="L106">
        <v>0</v>
      </c>
    </row>
    <row r="107" spans="1:12" x14ac:dyDescent="0.35">
      <c r="A107" t="s">
        <v>269</v>
      </c>
      <c r="B107" s="7">
        <v>43687.551562499997</v>
      </c>
      <c r="C107" t="s">
        <v>24</v>
      </c>
      <c r="D107" t="s">
        <v>238</v>
      </c>
      <c r="E107">
        <v>1</v>
      </c>
      <c r="F107" t="s">
        <v>249</v>
      </c>
      <c r="G107" t="s">
        <v>231</v>
      </c>
      <c r="H107">
        <v>1</v>
      </c>
      <c r="I107">
        <v>0</v>
      </c>
      <c r="J107">
        <v>0</v>
      </c>
      <c r="K107">
        <v>0</v>
      </c>
      <c r="L107">
        <v>0</v>
      </c>
    </row>
    <row r="108" spans="1:12" x14ac:dyDescent="0.35">
      <c r="A108" t="s">
        <v>270</v>
      </c>
      <c r="B108" s="7">
        <v>43687.551562499997</v>
      </c>
      <c r="C108" t="s">
        <v>228</v>
      </c>
      <c r="D108" t="s">
        <v>235</v>
      </c>
      <c r="E108">
        <v>1</v>
      </c>
      <c r="F108" t="s">
        <v>249</v>
      </c>
      <c r="G108" t="s">
        <v>231</v>
      </c>
      <c r="H108">
        <v>0</v>
      </c>
      <c r="I108">
        <v>1</v>
      </c>
      <c r="J108">
        <v>0</v>
      </c>
      <c r="K108">
        <v>0</v>
      </c>
      <c r="L108">
        <v>0</v>
      </c>
    </row>
    <row r="109" spans="1:12" x14ac:dyDescent="0.35">
      <c r="A109" t="s">
        <v>269</v>
      </c>
      <c r="B109" s="7">
        <v>43687.551562499997</v>
      </c>
      <c r="C109" t="s">
        <v>24</v>
      </c>
      <c r="D109" t="s">
        <v>229</v>
      </c>
      <c r="E109">
        <v>1</v>
      </c>
      <c r="F109" t="s">
        <v>249</v>
      </c>
      <c r="G109" t="s">
        <v>231</v>
      </c>
      <c r="H109">
        <v>1</v>
      </c>
      <c r="I109">
        <v>0</v>
      </c>
      <c r="J109">
        <v>0</v>
      </c>
      <c r="K109">
        <v>0</v>
      </c>
      <c r="L109">
        <v>0</v>
      </c>
    </row>
    <row r="110" spans="1:12" x14ac:dyDescent="0.35">
      <c r="A110" t="s">
        <v>269</v>
      </c>
      <c r="B110" s="7">
        <v>43687.551562499997</v>
      </c>
      <c r="C110" t="s">
        <v>24</v>
      </c>
      <c r="D110" t="s">
        <v>238</v>
      </c>
      <c r="E110">
        <v>1</v>
      </c>
      <c r="F110" t="s">
        <v>236</v>
      </c>
      <c r="G110" t="s">
        <v>237</v>
      </c>
      <c r="H110">
        <v>1</v>
      </c>
      <c r="I110">
        <v>0</v>
      </c>
      <c r="J110">
        <v>0</v>
      </c>
      <c r="K110">
        <v>0</v>
      </c>
      <c r="L110">
        <v>0</v>
      </c>
    </row>
    <row r="111" spans="1:12" x14ac:dyDescent="0.35">
      <c r="A111" t="s">
        <v>270</v>
      </c>
      <c r="B111" s="7">
        <v>43687.551562499997</v>
      </c>
      <c r="C111" t="s">
        <v>228</v>
      </c>
      <c r="D111" t="s">
        <v>34</v>
      </c>
      <c r="E111">
        <v>1</v>
      </c>
      <c r="F111" t="s">
        <v>236</v>
      </c>
      <c r="G111" t="s">
        <v>237</v>
      </c>
      <c r="H111">
        <v>0</v>
      </c>
      <c r="I111">
        <v>1</v>
      </c>
      <c r="J111">
        <v>0</v>
      </c>
      <c r="K111">
        <v>0</v>
      </c>
      <c r="L111">
        <v>0</v>
      </c>
    </row>
    <row r="112" spans="1:12" x14ac:dyDescent="0.35">
      <c r="A112" t="s">
        <v>269</v>
      </c>
      <c r="B112" s="7">
        <v>43687.551562499997</v>
      </c>
      <c r="C112" t="s">
        <v>24</v>
      </c>
      <c r="D112" t="s">
        <v>233</v>
      </c>
      <c r="E112">
        <v>1</v>
      </c>
      <c r="F112" t="s">
        <v>240</v>
      </c>
      <c r="G112" t="s">
        <v>237</v>
      </c>
      <c r="H112">
        <v>1</v>
      </c>
      <c r="I112">
        <v>0</v>
      </c>
      <c r="J112">
        <v>0</v>
      </c>
      <c r="K112">
        <v>0</v>
      </c>
      <c r="L112">
        <v>0</v>
      </c>
    </row>
    <row r="113" spans="1:12" x14ac:dyDescent="0.35">
      <c r="A113" t="s">
        <v>269</v>
      </c>
      <c r="B113" s="7">
        <v>43687.551562499997</v>
      </c>
      <c r="C113" t="s">
        <v>24</v>
      </c>
      <c r="D113" t="s">
        <v>34</v>
      </c>
      <c r="E113">
        <v>1</v>
      </c>
      <c r="F113" t="s">
        <v>242</v>
      </c>
      <c r="G113" t="s">
        <v>231</v>
      </c>
      <c r="H113">
        <v>1</v>
      </c>
      <c r="I113">
        <v>0</v>
      </c>
      <c r="J113">
        <v>0</v>
      </c>
      <c r="K113">
        <v>0</v>
      </c>
      <c r="L113">
        <v>0</v>
      </c>
    </row>
    <row r="114" spans="1:12" x14ac:dyDescent="0.35">
      <c r="A114" t="s">
        <v>269</v>
      </c>
      <c r="B114" s="7">
        <v>43687.551562499997</v>
      </c>
      <c r="C114" t="s">
        <v>24</v>
      </c>
      <c r="D114" t="s">
        <v>31</v>
      </c>
      <c r="E114">
        <v>1</v>
      </c>
      <c r="F114" t="s">
        <v>242</v>
      </c>
      <c r="G114" t="s">
        <v>231</v>
      </c>
      <c r="H114">
        <v>1</v>
      </c>
      <c r="I114">
        <v>0</v>
      </c>
      <c r="J114">
        <v>0</v>
      </c>
      <c r="K114">
        <v>0</v>
      </c>
      <c r="L114">
        <v>0</v>
      </c>
    </row>
    <row r="115" spans="1:12" x14ac:dyDescent="0.35">
      <c r="A115" t="s">
        <v>271</v>
      </c>
      <c r="B115" s="7">
        <v>43688.551562499997</v>
      </c>
      <c r="C115" t="s">
        <v>24</v>
      </c>
      <c r="D115" t="s">
        <v>34</v>
      </c>
      <c r="E115">
        <v>1</v>
      </c>
      <c r="F115" t="s">
        <v>230</v>
      </c>
      <c r="G115" t="s">
        <v>231</v>
      </c>
      <c r="H115">
        <v>1</v>
      </c>
      <c r="I115">
        <v>0</v>
      </c>
      <c r="J115">
        <v>0</v>
      </c>
      <c r="K115">
        <v>0</v>
      </c>
      <c r="L115">
        <v>0</v>
      </c>
    </row>
    <row r="116" spans="1:12" x14ac:dyDescent="0.35">
      <c r="A116" t="s">
        <v>271</v>
      </c>
      <c r="B116" s="7">
        <v>43688.551562499997</v>
      </c>
      <c r="C116" t="s">
        <v>24</v>
      </c>
      <c r="D116" t="s">
        <v>229</v>
      </c>
      <c r="E116">
        <v>1</v>
      </c>
      <c r="F116" t="s">
        <v>249</v>
      </c>
      <c r="G116" t="s">
        <v>231</v>
      </c>
      <c r="H116">
        <v>1</v>
      </c>
      <c r="I116">
        <v>0</v>
      </c>
      <c r="J116">
        <v>0</v>
      </c>
      <c r="K116">
        <v>0</v>
      </c>
      <c r="L116">
        <v>0</v>
      </c>
    </row>
    <row r="117" spans="1:12" x14ac:dyDescent="0.35">
      <c r="A117" t="s">
        <v>272</v>
      </c>
      <c r="B117" s="7">
        <v>43688.551562499997</v>
      </c>
      <c r="C117" t="s">
        <v>85</v>
      </c>
      <c r="D117" t="s">
        <v>238</v>
      </c>
      <c r="E117">
        <v>1</v>
      </c>
      <c r="F117" t="s">
        <v>249</v>
      </c>
      <c r="G117" t="s">
        <v>231</v>
      </c>
      <c r="H117">
        <v>0</v>
      </c>
      <c r="I117">
        <v>0</v>
      </c>
      <c r="J117">
        <v>0</v>
      </c>
      <c r="K117">
        <v>1</v>
      </c>
      <c r="L117">
        <v>0</v>
      </c>
    </row>
    <row r="118" spans="1:12" x14ac:dyDescent="0.35">
      <c r="A118" t="s">
        <v>271</v>
      </c>
      <c r="B118" s="7">
        <v>43688.551562499997</v>
      </c>
      <c r="C118" t="s">
        <v>24</v>
      </c>
      <c r="D118" t="s">
        <v>34</v>
      </c>
      <c r="E118">
        <v>1</v>
      </c>
      <c r="F118" t="s">
        <v>249</v>
      </c>
      <c r="G118" t="s">
        <v>231</v>
      </c>
      <c r="H118">
        <v>1</v>
      </c>
      <c r="I118">
        <v>0</v>
      </c>
      <c r="J118">
        <v>0</v>
      </c>
      <c r="K118">
        <v>0</v>
      </c>
      <c r="L118">
        <v>0</v>
      </c>
    </row>
    <row r="119" spans="1:12" x14ac:dyDescent="0.35">
      <c r="A119" t="s">
        <v>271</v>
      </c>
      <c r="B119" s="7">
        <v>43688.551562499997</v>
      </c>
      <c r="C119" t="s">
        <v>24</v>
      </c>
      <c r="D119" t="s">
        <v>31</v>
      </c>
      <c r="E119">
        <v>1</v>
      </c>
      <c r="F119" t="s">
        <v>249</v>
      </c>
      <c r="G119" t="s">
        <v>231</v>
      </c>
      <c r="H119">
        <v>1</v>
      </c>
      <c r="I119">
        <v>0</v>
      </c>
      <c r="J119">
        <v>0</v>
      </c>
      <c r="K119">
        <v>0</v>
      </c>
      <c r="L119">
        <v>0</v>
      </c>
    </row>
    <row r="120" spans="1:12" x14ac:dyDescent="0.35">
      <c r="A120" t="s">
        <v>271</v>
      </c>
      <c r="B120" s="7">
        <v>43688.551562499997</v>
      </c>
      <c r="C120" t="s">
        <v>24</v>
      </c>
      <c r="D120" t="s">
        <v>229</v>
      </c>
      <c r="E120">
        <v>1</v>
      </c>
      <c r="F120" t="s">
        <v>236</v>
      </c>
      <c r="G120" t="s">
        <v>237</v>
      </c>
      <c r="H120">
        <v>1</v>
      </c>
      <c r="I120">
        <v>0</v>
      </c>
      <c r="J120">
        <v>0</v>
      </c>
      <c r="K120">
        <v>0</v>
      </c>
      <c r="L120">
        <v>0</v>
      </c>
    </row>
    <row r="121" spans="1:12" x14ac:dyDescent="0.35">
      <c r="A121" t="s">
        <v>271</v>
      </c>
      <c r="B121" s="7">
        <v>43688.551562499997</v>
      </c>
      <c r="C121" t="s">
        <v>24</v>
      </c>
      <c r="D121" t="s">
        <v>233</v>
      </c>
      <c r="E121">
        <v>1</v>
      </c>
      <c r="F121" t="s">
        <v>236</v>
      </c>
      <c r="G121" t="s">
        <v>237</v>
      </c>
      <c r="H121">
        <v>1</v>
      </c>
      <c r="I121">
        <v>0</v>
      </c>
      <c r="J121">
        <v>0</v>
      </c>
      <c r="K121">
        <v>0</v>
      </c>
      <c r="L121">
        <v>0</v>
      </c>
    </row>
    <row r="122" spans="1:12" x14ac:dyDescent="0.35">
      <c r="A122" t="s">
        <v>273</v>
      </c>
      <c r="B122" s="7">
        <v>43688.551562499997</v>
      </c>
      <c r="C122" t="s">
        <v>228</v>
      </c>
      <c r="D122" t="s">
        <v>229</v>
      </c>
      <c r="E122">
        <v>1</v>
      </c>
      <c r="F122" t="s">
        <v>239</v>
      </c>
      <c r="G122" t="s">
        <v>237</v>
      </c>
      <c r="H122">
        <v>0</v>
      </c>
      <c r="I122">
        <v>1</v>
      </c>
      <c r="J122">
        <v>0</v>
      </c>
      <c r="K122">
        <v>0</v>
      </c>
      <c r="L122">
        <v>0</v>
      </c>
    </row>
    <row r="123" spans="1:12" x14ac:dyDescent="0.35">
      <c r="A123" t="s">
        <v>271</v>
      </c>
      <c r="B123" s="7">
        <v>43688.551562499997</v>
      </c>
      <c r="C123" t="s">
        <v>24</v>
      </c>
      <c r="D123" t="s">
        <v>238</v>
      </c>
      <c r="E123">
        <v>1</v>
      </c>
      <c r="F123" t="s">
        <v>240</v>
      </c>
      <c r="G123" t="s">
        <v>237</v>
      </c>
      <c r="H123">
        <v>1</v>
      </c>
      <c r="I123">
        <v>0</v>
      </c>
      <c r="J123">
        <v>0</v>
      </c>
      <c r="K123">
        <v>0</v>
      </c>
      <c r="L123">
        <v>0</v>
      </c>
    </row>
    <row r="124" spans="1:12" x14ac:dyDescent="0.35">
      <c r="A124" t="s">
        <v>271</v>
      </c>
      <c r="B124" s="7">
        <v>43688.551562499997</v>
      </c>
      <c r="C124" t="s">
        <v>24</v>
      </c>
      <c r="D124" t="s">
        <v>233</v>
      </c>
      <c r="E124">
        <v>1</v>
      </c>
      <c r="F124" t="s">
        <v>240</v>
      </c>
      <c r="G124" t="s">
        <v>237</v>
      </c>
      <c r="H124">
        <v>1</v>
      </c>
      <c r="I124">
        <v>0</v>
      </c>
      <c r="J124">
        <v>0</v>
      </c>
      <c r="K124">
        <v>0</v>
      </c>
      <c r="L124">
        <v>0</v>
      </c>
    </row>
    <row r="125" spans="1:12" x14ac:dyDescent="0.35">
      <c r="A125" t="s">
        <v>272</v>
      </c>
      <c r="B125" s="7">
        <v>43688.551562499997</v>
      </c>
      <c r="C125" t="s">
        <v>85</v>
      </c>
      <c r="D125" t="s">
        <v>34</v>
      </c>
      <c r="E125">
        <v>1</v>
      </c>
      <c r="F125" t="s">
        <v>242</v>
      </c>
      <c r="G125" t="s">
        <v>231</v>
      </c>
      <c r="H125">
        <v>0</v>
      </c>
      <c r="I125">
        <v>0</v>
      </c>
      <c r="J125">
        <v>0</v>
      </c>
      <c r="K125">
        <v>1</v>
      </c>
      <c r="L125">
        <v>0</v>
      </c>
    </row>
    <row r="126" spans="1:12" x14ac:dyDescent="0.35">
      <c r="A126" t="s">
        <v>272</v>
      </c>
      <c r="B126" s="7">
        <v>43688.551562499997</v>
      </c>
      <c r="C126" t="s">
        <v>85</v>
      </c>
      <c r="D126" t="s">
        <v>233</v>
      </c>
      <c r="E126">
        <v>1</v>
      </c>
      <c r="F126" t="s">
        <v>242</v>
      </c>
      <c r="G126" t="s">
        <v>231</v>
      </c>
      <c r="H126">
        <v>0</v>
      </c>
      <c r="I126">
        <v>0</v>
      </c>
      <c r="J126">
        <v>0</v>
      </c>
      <c r="K126">
        <v>1</v>
      </c>
      <c r="L126">
        <v>0</v>
      </c>
    </row>
    <row r="127" spans="1:12" x14ac:dyDescent="0.35">
      <c r="A127" t="s">
        <v>274</v>
      </c>
      <c r="B127" s="7">
        <v>43689.551562499997</v>
      </c>
      <c r="C127" t="s">
        <v>108</v>
      </c>
      <c r="D127" t="s">
        <v>34</v>
      </c>
      <c r="E127">
        <v>1</v>
      </c>
      <c r="F127" t="s">
        <v>230</v>
      </c>
      <c r="G127" t="s">
        <v>231</v>
      </c>
      <c r="H127">
        <v>0</v>
      </c>
      <c r="I127">
        <v>0</v>
      </c>
      <c r="J127">
        <v>1</v>
      </c>
      <c r="K127">
        <v>0</v>
      </c>
      <c r="L127">
        <v>0</v>
      </c>
    </row>
    <row r="128" spans="1:12" x14ac:dyDescent="0.35">
      <c r="A128" t="s">
        <v>274</v>
      </c>
      <c r="B128" s="7">
        <v>43689.551562499997</v>
      </c>
      <c r="C128" t="s">
        <v>108</v>
      </c>
      <c r="D128" t="s">
        <v>235</v>
      </c>
      <c r="E128">
        <v>1</v>
      </c>
      <c r="F128" t="s">
        <v>230</v>
      </c>
      <c r="G128" t="s">
        <v>231</v>
      </c>
      <c r="H128">
        <v>0</v>
      </c>
      <c r="I128">
        <v>0</v>
      </c>
      <c r="J128">
        <v>1</v>
      </c>
      <c r="K128">
        <v>0</v>
      </c>
      <c r="L128">
        <v>0</v>
      </c>
    </row>
    <row r="129" spans="1:12" x14ac:dyDescent="0.35">
      <c r="A129" t="s">
        <v>275</v>
      </c>
      <c r="B129" s="7">
        <v>43689.551562499997</v>
      </c>
      <c r="C129" t="s">
        <v>24</v>
      </c>
      <c r="D129" t="s">
        <v>235</v>
      </c>
      <c r="E129">
        <v>1</v>
      </c>
      <c r="F129" t="s">
        <v>230</v>
      </c>
      <c r="G129" t="s">
        <v>231</v>
      </c>
      <c r="H129">
        <v>1</v>
      </c>
      <c r="I129">
        <v>0</v>
      </c>
      <c r="J129">
        <v>0</v>
      </c>
      <c r="K129">
        <v>0</v>
      </c>
      <c r="L129">
        <v>0</v>
      </c>
    </row>
    <row r="130" spans="1:12" x14ac:dyDescent="0.35">
      <c r="A130" t="s">
        <v>276</v>
      </c>
      <c r="B130" s="7">
        <v>43689.551562499997</v>
      </c>
      <c r="C130" t="s">
        <v>228</v>
      </c>
      <c r="D130" t="s">
        <v>233</v>
      </c>
      <c r="E130">
        <v>1</v>
      </c>
      <c r="F130" t="s">
        <v>249</v>
      </c>
      <c r="G130" t="s">
        <v>231</v>
      </c>
      <c r="H130">
        <v>0</v>
      </c>
      <c r="I130">
        <v>1</v>
      </c>
      <c r="J130">
        <v>0</v>
      </c>
      <c r="K130">
        <v>0</v>
      </c>
      <c r="L130">
        <v>0</v>
      </c>
    </row>
    <row r="131" spans="1:12" x14ac:dyDescent="0.35">
      <c r="A131" t="s">
        <v>275</v>
      </c>
      <c r="B131" s="7">
        <v>43689.551562499997</v>
      </c>
      <c r="C131" t="s">
        <v>24</v>
      </c>
      <c r="D131" t="s">
        <v>31</v>
      </c>
      <c r="E131">
        <v>1</v>
      </c>
      <c r="F131" t="s">
        <v>249</v>
      </c>
      <c r="G131" t="s">
        <v>231</v>
      </c>
      <c r="H131">
        <v>1</v>
      </c>
      <c r="I131">
        <v>0</v>
      </c>
      <c r="J131">
        <v>0</v>
      </c>
      <c r="K131">
        <v>0</v>
      </c>
      <c r="L131">
        <v>0</v>
      </c>
    </row>
    <row r="132" spans="1:12" x14ac:dyDescent="0.35">
      <c r="A132" t="s">
        <v>275</v>
      </c>
      <c r="B132" s="7">
        <v>43689.551562499997</v>
      </c>
      <c r="C132" t="s">
        <v>24</v>
      </c>
      <c r="D132" t="s">
        <v>34</v>
      </c>
      <c r="E132">
        <v>1</v>
      </c>
      <c r="F132" t="s">
        <v>249</v>
      </c>
      <c r="G132" t="s">
        <v>231</v>
      </c>
      <c r="H132">
        <v>1</v>
      </c>
      <c r="I132">
        <v>0</v>
      </c>
      <c r="J132">
        <v>0</v>
      </c>
      <c r="K132">
        <v>0</v>
      </c>
      <c r="L132">
        <v>0</v>
      </c>
    </row>
    <row r="133" spans="1:12" x14ac:dyDescent="0.35">
      <c r="A133" t="s">
        <v>274</v>
      </c>
      <c r="B133" s="7">
        <v>43689.551562499997</v>
      </c>
      <c r="C133" t="s">
        <v>108</v>
      </c>
      <c r="D133" t="s">
        <v>238</v>
      </c>
      <c r="E133">
        <v>1</v>
      </c>
      <c r="F133" t="s">
        <v>249</v>
      </c>
      <c r="G133" t="s">
        <v>231</v>
      </c>
      <c r="H133">
        <v>0</v>
      </c>
      <c r="I133">
        <v>0</v>
      </c>
      <c r="J133">
        <v>1</v>
      </c>
      <c r="K133">
        <v>0</v>
      </c>
      <c r="L133">
        <v>0</v>
      </c>
    </row>
    <row r="134" spans="1:12" x14ac:dyDescent="0.35">
      <c r="A134" t="s">
        <v>275</v>
      </c>
      <c r="B134" s="7">
        <v>43689.551562499997</v>
      </c>
      <c r="C134" t="s">
        <v>24</v>
      </c>
      <c r="D134" t="s">
        <v>31</v>
      </c>
      <c r="E134">
        <v>1</v>
      </c>
      <c r="F134" t="s">
        <v>236</v>
      </c>
      <c r="G134" t="s">
        <v>237</v>
      </c>
      <c r="H134">
        <v>1</v>
      </c>
      <c r="I134">
        <v>0</v>
      </c>
      <c r="J134">
        <v>0</v>
      </c>
      <c r="K134">
        <v>0</v>
      </c>
      <c r="L134">
        <v>0</v>
      </c>
    </row>
    <row r="135" spans="1:12" x14ac:dyDescent="0.35">
      <c r="A135" t="s">
        <v>275</v>
      </c>
      <c r="B135" s="7">
        <v>43689.551562499997</v>
      </c>
      <c r="C135" t="s">
        <v>24</v>
      </c>
      <c r="D135" t="s">
        <v>34</v>
      </c>
      <c r="E135">
        <v>1</v>
      </c>
      <c r="F135" t="s">
        <v>236</v>
      </c>
      <c r="G135" t="s">
        <v>237</v>
      </c>
      <c r="H135">
        <v>1</v>
      </c>
      <c r="I135">
        <v>0</v>
      </c>
      <c r="J135">
        <v>0</v>
      </c>
      <c r="K135">
        <v>0</v>
      </c>
      <c r="L135">
        <v>0</v>
      </c>
    </row>
    <row r="136" spans="1:12" x14ac:dyDescent="0.35">
      <c r="A136" t="s">
        <v>276</v>
      </c>
      <c r="B136" s="7">
        <v>43689.551562499997</v>
      </c>
      <c r="C136" t="s">
        <v>228</v>
      </c>
      <c r="D136" t="s">
        <v>235</v>
      </c>
      <c r="E136">
        <v>1</v>
      </c>
      <c r="F136" t="s">
        <v>236</v>
      </c>
      <c r="G136" t="s">
        <v>237</v>
      </c>
      <c r="H136">
        <v>0</v>
      </c>
      <c r="I136">
        <v>1</v>
      </c>
      <c r="J136">
        <v>0</v>
      </c>
      <c r="K136">
        <v>0</v>
      </c>
      <c r="L136">
        <v>0</v>
      </c>
    </row>
    <row r="137" spans="1:12" x14ac:dyDescent="0.35">
      <c r="A137" t="s">
        <v>277</v>
      </c>
      <c r="B137" s="7">
        <v>43689.551562499997</v>
      </c>
      <c r="C137" t="s">
        <v>85</v>
      </c>
      <c r="D137" t="s">
        <v>34</v>
      </c>
      <c r="E137">
        <v>1</v>
      </c>
      <c r="F137" t="s">
        <v>239</v>
      </c>
      <c r="G137" t="s">
        <v>237</v>
      </c>
      <c r="H137">
        <v>0</v>
      </c>
      <c r="I137">
        <v>0</v>
      </c>
      <c r="J137">
        <v>0</v>
      </c>
      <c r="K137">
        <v>1</v>
      </c>
      <c r="L137">
        <v>0</v>
      </c>
    </row>
    <row r="138" spans="1:12" x14ac:dyDescent="0.35">
      <c r="A138" t="s">
        <v>275</v>
      </c>
      <c r="B138" s="7">
        <v>43689.551562499997</v>
      </c>
      <c r="C138" t="s">
        <v>24</v>
      </c>
      <c r="D138" t="s">
        <v>34</v>
      </c>
      <c r="E138">
        <v>1</v>
      </c>
      <c r="F138" t="s">
        <v>239</v>
      </c>
      <c r="G138" t="s">
        <v>237</v>
      </c>
      <c r="H138">
        <v>1</v>
      </c>
      <c r="I138">
        <v>0</v>
      </c>
      <c r="J138">
        <v>0</v>
      </c>
      <c r="K138">
        <v>0</v>
      </c>
      <c r="L138">
        <v>0</v>
      </c>
    </row>
    <row r="139" spans="1:12" x14ac:dyDescent="0.35">
      <c r="A139" t="s">
        <v>275</v>
      </c>
      <c r="B139" s="7">
        <v>43689.551562499997</v>
      </c>
      <c r="C139" t="s">
        <v>24</v>
      </c>
      <c r="D139" t="s">
        <v>229</v>
      </c>
      <c r="E139">
        <v>1</v>
      </c>
      <c r="F139" t="s">
        <v>239</v>
      </c>
      <c r="G139" t="s">
        <v>237</v>
      </c>
      <c r="H139">
        <v>1</v>
      </c>
      <c r="I139">
        <v>0</v>
      </c>
      <c r="J139">
        <v>0</v>
      </c>
      <c r="K139">
        <v>0</v>
      </c>
      <c r="L139">
        <v>0</v>
      </c>
    </row>
    <row r="140" spans="1:12" x14ac:dyDescent="0.35">
      <c r="A140" t="s">
        <v>274</v>
      </c>
      <c r="B140" s="7">
        <v>43689.551562499997</v>
      </c>
      <c r="C140" t="s">
        <v>108</v>
      </c>
      <c r="D140" t="s">
        <v>233</v>
      </c>
      <c r="E140">
        <v>1</v>
      </c>
      <c r="F140" t="s">
        <v>239</v>
      </c>
      <c r="G140" t="s">
        <v>237</v>
      </c>
      <c r="H140">
        <v>0</v>
      </c>
      <c r="I140">
        <v>0</v>
      </c>
      <c r="J140">
        <v>1</v>
      </c>
      <c r="K140">
        <v>0</v>
      </c>
      <c r="L140">
        <v>0</v>
      </c>
    </row>
    <row r="141" spans="1:12" x14ac:dyDescent="0.35">
      <c r="A141" t="s">
        <v>275</v>
      </c>
      <c r="B141" s="7">
        <v>43689.551562499997</v>
      </c>
      <c r="C141" t="s">
        <v>24</v>
      </c>
      <c r="D141" t="s">
        <v>34</v>
      </c>
      <c r="E141">
        <v>1</v>
      </c>
      <c r="F141" t="s">
        <v>239</v>
      </c>
      <c r="G141" t="s">
        <v>237</v>
      </c>
      <c r="H141">
        <v>1</v>
      </c>
      <c r="I141">
        <v>0</v>
      </c>
      <c r="J141">
        <v>0</v>
      </c>
      <c r="K141">
        <v>0</v>
      </c>
      <c r="L141">
        <v>0</v>
      </c>
    </row>
    <row r="142" spans="1:12" x14ac:dyDescent="0.35">
      <c r="A142" t="s">
        <v>275</v>
      </c>
      <c r="B142" s="7">
        <v>43689.551562499997</v>
      </c>
      <c r="C142" t="s">
        <v>24</v>
      </c>
      <c r="D142" t="s">
        <v>31</v>
      </c>
      <c r="E142">
        <v>1</v>
      </c>
      <c r="F142" t="s">
        <v>240</v>
      </c>
      <c r="G142" t="s">
        <v>237</v>
      </c>
      <c r="H142">
        <v>1</v>
      </c>
      <c r="I142">
        <v>0</v>
      </c>
      <c r="J142">
        <v>0</v>
      </c>
      <c r="K142">
        <v>0</v>
      </c>
      <c r="L142">
        <v>0</v>
      </c>
    </row>
    <row r="143" spans="1:12" x14ac:dyDescent="0.35">
      <c r="A143" t="s">
        <v>277</v>
      </c>
      <c r="B143" s="7">
        <v>43689.551562499997</v>
      </c>
      <c r="C143" t="s">
        <v>85</v>
      </c>
      <c r="D143" t="s">
        <v>34</v>
      </c>
      <c r="E143">
        <v>1</v>
      </c>
      <c r="F143" t="s">
        <v>242</v>
      </c>
      <c r="G143" t="s">
        <v>231</v>
      </c>
      <c r="H143">
        <v>0</v>
      </c>
      <c r="I143">
        <v>0</v>
      </c>
      <c r="J143">
        <v>0</v>
      </c>
      <c r="K143">
        <v>1</v>
      </c>
      <c r="L143">
        <v>0</v>
      </c>
    </row>
    <row r="144" spans="1:12" x14ac:dyDescent="0.35">
      <c r="A144" t="s">
        <v>278</v>
      </c>
      <c r="B144" s="7">
        <v>43690.551562499997</v>
      </c>
      <c r="C144" t="s">
        <v>24</v>
      </c>
      <c r="D144" t="s">
        <v>229</v>
      </c>
      <c r="E144">
        <v>1</v>
      </c>
      <c r="F144" t="s">
        <v>230</v>
      </c>
      <c r="G144" t="s">
        <v>231</v>
      </c>
      <c r="H144">
        <v>1</v>
      </c>
      <c r="I144">
        <v>0</v>
      </c>
      <c r="J144">
        <v>0</v>
      </c>
      <c r="K144">
        <v>0</v>
      </c>
      <c r="L144">
        <v>0</v>
      </c>
    </row>
    <row r="145" spans="1:12" x14ac:dyDescent="0.35">
      <c r="A145" t="s">
        <v>279</v>
      </c>
      <c r="B145" s="7">
        <v>43690.551562499997</v>
      </c>
      <c r="C145" t="s">
        <v>228</v>
      </c>
      <c r="D145" t="s">
        <v>229</v>
      </c>
      <c r="E145">
        <v>1</v>
      </c>
      <c r="F145" t="s">
        <v>249</v>
      </c>
      <c r="G145" t="s">
        <v>231</v>
      </c>
      <c r="H145">
        <v>0</v>
      </c>
      <c r="I145">
        <v>1</v>
      </c>
      <c r="J145">
        <v>0</v>
      </c>
      <c r="K145">
        <v>0</v>
      </c>
      <c r="L145">
        <v>0</v>
      </c>
    </row>
    <row r="146" spans="1:12" x14ac:dyDescent="0.35">
      <c r="A146" t="s">
        <v>278</v>
      </c>
      <c r="B146" s="7">
        <v>43690.551562499997</v>
      </c>
      <c r="C146" t="s">
        <v>24</v>
      </c>
      <c r="D146" t="s">
        <v>31</v>
      </c>
      <c r="E146">
        <v>1</v>
      </c>
      <c r="F146" t="s">
        <v>249</v>
      </c>
      <c r="G146" t="s">
        <v>231</v>
      </c>
      <c r="H146">
        <v>1</v>
      </c>
      <c r="I146">
        <v>0</v>
      </c>
      <c r="J146">
        <v>0</v>
      </c>
      <c r="K146">
        <v>0</v>
      </c>
      <c r="L146">
        <v>0</v>
      </c>
    </row>
    <row r="147" spans="1:12" x14ac:dyDescent="0.35">
      <c r="A147" t="s">
        <v>280</v>
      </c>
      <c r="B147" s="7">
        <v>43690.551562499997</v>
      </c>
      <c r="C147" t="s">
        <v>108</v>
      </c>
      <c r="D147" t="s">
        <v>238</v>
      </c>
      <c r="E147">
        <v>1</v>
      </c>
      <c r="F147" t="s">
        <v>236</v>
      </c>
      <c r="G147" t="s">
        <v>237</v>
      </c>
      <c r="H147">
        <v>0</v>
      </c>
      <c r="I147">
        <v>0</v>
      </c>
      <c r="J147">
        <v>1</v>
      </c>
      <c r="K147">
        <v>0</v>
      </c>
      <c r="L147">
        <v>0</v>
      </c>
    </row>
    <row r="148" spans="1:12" x14ac:dyDescent="0.35">
      <c r="A148" t="s">
        <v>278</v>
      </c>
      <c r="B148" s="7">
        <v>43690.551562499997</v>
      </c>
      <c r="C148" t="s">
        <v>24</v>
      </c>
      <c r="D148" t="s">
        <v>31</v>
      </c>
      <c r="E148">
        <v>1</v>
      </c>
      <c r="F148" t="s">
        <v>236</v>
      </c>
      <c r="G148" t="s">
        <v>237</v>
      </c>
      <c r="H148">
        <v>1</v>
      </c>
      <c r="I148">
        <v>0</v>
      </c>
      <c r="J148">
        <v>0</v>
      </c>
      <c r="K148">
        <v>0</v>
      </c>
      <c r="L148">
        <v>0</v>
      </c>
    </row>
    <row r="149" spans="1:12" x14ac:dyDescent="0.35">
      <c r="A149" t="s">
        <v>281</v>
      </c>
      <c r="B149" s="7">
        <v>43690.551562499997</v>
      </c>
      <c r="C149" t="s">
        <v>85</v>
      </c>
      <c r="D149" t="s">
        <v>233</v>
      </c>
      <c r="E149">
        <v>1</v>
      </c>
      <c r="F149" t="s">
        <v>236</v>
      </c>
      <c r="G149" t="s">
        <v>237</v>
      </c>
      <c r="H149">
        <v>0</v>
      </c>
      <c r="I149">
        <v>0</v>
      </c>
      <c r="J149">
        <v>0</v>
      </c>
      <c r="K149">
        <v>1</v>
      </c>
      <c r="L149">
        <v>0</v>
      </c>
    </row>
    <row r="150" spans="1:12" x14ac:dyDescent="0.35">
      <c r="A150" t="s">
        <v>278</v>
      </c>
      <c r="B150" s="7">
        <v>43690.551562499997</v>
      </c>
      <c r="C150" t="s">
        <v>24</v>
      </c>
      <c r="D150" t="s">
        <v>34</v>
      </c>
      <c r="E150">
        <v>1</v>
      </c>
      <c r="F150" t="s">
        <v>236</v>
      </c>
      <c r="G150" t="s">
        <v>237</v>
      </c>
      <c r="H150">
        <v>1</v>
      </c>
      <c r="I150">
        <v>0</v>
      </c>
      <c r="J150">
        <v>0</v>
      </c>
      <c r="K150">
        <v>0</v>
      </c>
      <c r="L150">
        <v>0</v>
      </c>
    </row>
    <row r="151" spans="1:12" x14ac:dyDescent="0.35">
      <c r="A151" t="s">
        <v>278</v>
      </c>
      <c r="B151" s="7">
        <v>43690.551562499997</v>
      </c>
      <c r="C151" t="s">
        <v>24</v>
      </c>
      <c r="D151" t="s">
        <v>238</v>
      </c>
      <c r="E151">
        <v>1</v>
      </c>
      <c r="F151" t="s">
        <v>240</v>
      </c>
      <c r="G151" t="s">
        <v>237</v>
      </c>
      <c r="H151">
        <v>1</v>
      </c>
      <c r="I151">
        <v>0</v>
      </c>
      <c r="J151">
        <v>0</v>
      </c>
      <c r="K151">
        <v>0</v>
      </c>
      <c r="L151">
        <v>0</v>
      </c>
    </row>
    <row r="152" spans="1:12" x14ac:dyDescent="0.35">
      <c r="A152" t="s">
        <v>282</v>
      </c>
      <c r="B152" s="7">
        <v>43691.551562499997</v>
      </c>
      <c r="C152" t="s">
        <v>24</v>
      </c>
      <c r="D152" t="s">
        <v>233</v>
      </c>
      <c r="E152">
        <v>1</v>
      </c>
      <c r="F152" t="s">
        <v>230</v>
      </c>
      <c r="G152" t="s">
        <v>231</v>
      </c>
      <c r="H152">
        <v>1</v>
      </c>
      <c r="I152">
        <v>0</v>
      </c>
      <c r="J152">
        <v>0</v>
      </c>
      <c r="K152">
        <v>0</v>
      </c>
      <c r="L152">
        <v>0</v>
      </c>
    </row>
    <row r="153" spans="1:12" x14ac:dyDescent="0.35">
      <c r="A153" t="s">
        <v>283</v>
      </c>
      <c r="B153" s="7">
        <v>43691.551562499997</v>
      </c>
      <c r="C153" t="s">
        <v>85</v>
      </c>
      <c r="D153" t="s">
        <v>34</v>
      </c>
      <c r="E153">
        <v>1</v>
      </c>
      <c r="F153" t="s">
        <v>249</v>
      </c>
      <c r="G153" t="s">
        <v>231</v>
      </c>
      <c r="H153">
        <v>0</v>
      </c>
      <c r="I153">
        <v>0</v>
      </c>
      <c r="J153">
        <v>0</v>
      </c>
      <c r="K153">
        <v>1</v>
      </c>
      <c r="L153">
        <v>0</v>
      </c>
    </row>
    <row r="154" spans="1:12" x14ac:dyDescent="0.35">
      <c r="A154" t="s">
        <v>284</v>
      </c>
      <c r="B154" s="7">
        <v>43691.551562499997</v>
      </c>
      <c r="C154" t="s">
        <v>108</v>
      </c>
      <c r="D154" t="s">
        <v>238</v>
      </c>
      <c r="E154">
        <v>1</v>
      </c>
      <c r="F154" t="s">
        <v>249</v>
      </c>
      <c r="G154" t="s">
        <v>231</v>
      </c>
      <c r="H154">
        <v>0</v>
      </c>
      <c r="I154">
        <v>0</v>
      </c>
      <c r="J154">
        <v>1</v>
      </c>
      <c r="K154">
        <v>0</v>
      </c>
      <c r="L154">
        <v>0</v>
      </c>
    </row>
    <row r="155" spans="1:12" x14ac:dyDescent="0.35">
      <c r="A155" t="s">
        <v>282</v>
      </c>
      <c r="B155" s="7">
        <v>43691.551562499997</v>
      </c>
      <c r="C155" t="s">
        <v>24</v>
      </c>
      <c r="D155" t="s">
        <v>31</v>
      </c>
      <c r="E155">
        <v>1</v>
      </c>
      <c r="F155" t="s">
        <v>249</v>
      </c>
      <c r="G155" t="s">
        <v>231</v>
      </c>
      <c r="H155">
        <v>1</v>
      </c>
      <c r="I155">
        <v>0</v>
      </c>
      <c r="J155">
        <v>0</v>
      </c>
      <c r="K155">
        <v>0</v>
      </c>
      <c r="L155">
        <v>0</v>
      </c>
    </row>
    <row r="156" spans="1:12" x14ac:dyDescent="0.35">
      <c r="A156" t="s">
        <v>284</v>
      </c>
      <c r="B156" s="7">
        <v>43691.551562499997</v>
      </c>
      <c r="C156" t="s">
        <v>108</v>
      </c>
      <c r="D156" t="s">
        <v>229</v>
      </c>
      <c r="E156">
        <v>1</v>
      </c>
      <c r="F156" t="s">
        <v>236</v>
      </c>
      <c r="G156" t="s">
        <v>237</v>
      </c>
      <c r="H156">
        <v>0</v>
      </c>
      <c r="I156">
        <v>0</v>
      </c>
      <c r="J156">
        <v>1</v>
      </c>
      <c r="K156">
        <v>0</v>
      </c>
      <c r="L156">
        <v>0</v>
      </c>
    </row>
    <row r="157" spans="1:12" x14ac:dyDescent="0.35">
      <c r="A157" t="s">
        <v>282</v>
      </c>
      <c r="B157" s="7">
        <v>43691.551562499997</v>
      </c>
      <c r="C157" t="s">
        <v>24</v>
      </c>
      <c r="D157" t="s">
        <v>34</v>
      </c>
      <c r="E157">
        <v>1</v>
      </c>
      <c r="F157" t="s">
        <v>240</v>
      </c>
      <c r="G157" t="s">
        <v>237</v>
      </c>
      <c r="H157">
        <v>1</v>
      </c>
      <c r="I157">
        <v>0</v>
      </c>
      <c r="J157">
        <v>0</v>
      </c>
      <c r="K157">
        <v>0</v>
      </c>
      <c r="L157">
        <v>0</v>
      </c>
    </row>
    <row r="158" spans="1:12" x14ac:dyDescent="0.35">
      <c r="A158" t="s">
        <v>282</v>
      </c>
      <c r="B158" s="7">
        <v>43691.551562499997</v>
      </c>
      <c r="C158" t="s">
        <v>24</v>
      </c>
      <c r="D158" t="s">
        <v>238</v>
      </c>
      <c r="E158">
        <v>1</v>
      </c>
      <c r="F158" t="s">
        <v>240</v>
      </c>
      <c r="G158" t="s">
        <v>237</v>
      </c>
      <c r="H158">
        <v>1</v>
      </c>
      <c r="I158">
        <v>0</v>
      </c>
      <c r="J158">
        <v>0</v>
      </c>
      <c r="K158">
        <v>0</v>
      </c>
      <c r="L158">
        <v>0</v>
      </c>
    </row>
    <row r="159" spans="1:12" x14ac:dyDescent="0.35">
      <c r="A159" t="s">
        <v>282</v>
      </c>
      <c r="B159" s="7">
        <v>43691.551562499997</v>
      </c>
      <c r="C159" t="s">
        <v>24</v>
      </c>
      <c r="D159" t="s">
        <v>235</v>
      </c>
      <c r="E159">
        <v>1</v>
      </c>
      <c r="F159" t="s">
        <v>240</v>
      </c>
      <c r="G159" t="s">
        <v>237</v>
      </c>
      <c r="H159">
        <v>1</v>
      </c>
      <c r="I159">
        <v>0</v>
      </c>
      <c r="J159">
        <v>0</v>
      </c>
      <c r="K159">
        <v>0</v>
      </c>
      <c r="L159">
        <v>0</v>
      </c>
    </row>
    <row r="160" spans="1:12" x14ac:dyDescent="0.35">
      <c r="A160" t="s">
        <v>285</v>
      </c>
      <c r="B160" s="7">
        <v>43692.551562499997</v>
      </c>
      <c r="C160" t="s">
        <v>24</v>
      </c>
      <c r="D160" t="s">
        <v>233</v>
      </c>
      <c r="E160">
        <v>1</v>
      </c>
      <c r="F160" t="s">
        <v>230</v>
      </c>
      <c r="G160" t="s">
        <v>231</v>
      </c>
      <c r="H160">
        <v>1</v>
      </c>
      <c r="I160">
        <v>0</v>
      </c>
      <c r="J160">
        <v>0</v>
      </c>
      <c r="K160">
        <v>0</v>
      </c>
      <c r="L160">
        <v>0</v>
      </c>
    </row>
    <row r="161" spans="1:12" x14ac:dyDescent="0.35">
      <c r="A161" t="s">
        <v>286</v>
      </c>
      <c r="B161" s="7">
        <v>43692.551562499997</v>
      </c>
      <c r="C161" t="s">
        <v>85</v>
      </c>
      <c r="D161" t="s">
        <v>31</v>
      </c>
      <c r="E161">
        <v>1</v>
      </c>
      <c r="F161" t="s">
        <v>249</v>
      </c>
      <c r="G161" t="s">
        <v>231</v>
      </c>
      <c r="H161">
        <v>0</v>
      </c>
      <c r="I161">
        <v>0</v>
      </c>
      <c r="J161">
        <v>0</v>
      </c>
      <c r="K161">
        <v>1</v>
      </c>
      <c r="L161">
        <v>0</v>
      </c>
    </row>
    <row r="162" spans="1:12" x14ac:dyDescent="0.35">
      <c r="A162" t="s">
        <v>286</v>
      </c>
      <c r="B162" s="7">
        <v>43692.551562499997</v>
      </c>
      <c r="C162" t="s">
        <v>85</v>
      </c>
      <c r="D162" t="s">
        <v>235</v>
      </c>
      <c r="E162">
        <v>1</v>
      </c>
      <c r="F162" t="s">
        <v>249</v>
      </c>
      <c r="G162" t="s">
        <v>231</v>
      </c>
      <c r="H162">
        <v>0</v>
      </c>
      <c r="I162">
        <v>0</v>
      </c>
      <c r="J162">
        <v>0</v>
      </c>
      <c r="K162">
        <v>1</v>
      </c>
      <c r="L162">
        <v>0</v>
      </c>
    </row>
    <row r="163" spans="1:12" x14ac:dyDescent="0.35">
      <c r="A163" t="s">
        <v>285</v>
      </c>
      <c r="B163" s="7">
        <v>43692.551562499997</v>
      </c>
      <c r="C163" t="s">
        <v>24</v>
      </c>
      <c r="D163" t="s">
        <v>34</v>
      </c>
      <c r="E163">
        <v>1</v>
      </c>
      <c r="F163" t="s">
        <v>239</v>
      </c>
      <c r="G163" t="s">
        <v>237</v>
      </c>
      <c r="H163">
        <v>1</v>
      </c>
      <c r="I163">
        <v>0</v>
      </c>
      <c r="J163">
        <v>0</v>
      </c>
      <c r="K163">
        <v>0</v>
      </c>
      <c r="L163">
        <v>0</v>
      </c>
    </row>
    <row r="164" spans="1:12" x14ac:dyDescent="0.35">
      <c r="A164" t="s">
        <v>286</v>
      </c>
      <c r="B164" s="7">
        <v>43692.551562499997</v>
      </c>
      <c r="C164" t="s">
        <v>85</v>
      </c>
      <c r="D164" t="s">
        <v>229</v>
      </c>
      <c r="E164">
        <v>1</v>
      </c>
      <c r="F164" t="s">
        <v>239</v>
      </c>
      <c r="G164" t="s">
        <v>237</v>
      </c>
      <c r="H164">
        <v>0</v>
      </c>
      <c r="I164">
        <v>0</v>
      </c>
      <c r="J164">
        <v>0</v>
      </c>
      <c r="K164">
        <v>1</v>
      </c>
      <c r="L164">
        <v>0</v>
      </c>
    </row>
    <row r="165" spans="1:12" x14ac:dyDescent="0.35">
      <c r="A165" t="s">
        <v>285</v>
      </c>
      <c r="B165" s="7">
        <v>43692.551562499997</v>
      </c>
      <c r="C165" t="s">
        <v>24</v>
      </c>
      <c r="D165" t="s">
        <v>233</v>
      </c>
      <c r="E165">
        <v>1</v>
      </c>
      <c r="F165" t="s">
        <v>239</v>
      </c>
      <c r="G165" t="s">
        <v>237</v>
      </c>
      <c r="H165">
        <v>1</v>
      </c>
      <c r="I165">
        <v>0</v>
      </c>
      <c r="J165">
        <v>0</v>
      </c>
      <c r="K165">
        <v>0</v>
      </c>
      <c r="L165">
        <v>0</v>
      </c>
    </row>
    <row r="166" spans="1:12" x14ac:dyDescent="0.35">
      <c r="A166" t="s">
        <v>285</v>
      </c>
      <c r="B166" s="7">
        <v>43692.551562499997</v>
      </c>
      <c r="C166" t="s">
        <v>24</v>
      </c>
      <c r="D166" t="s">
        <v>235</v>
      </c>
      <c r="E166">
        <v>1</v>
      </c>
      <c r="F166" t="s">
        <v>240</v>
      </c>
      <c r="G166" t="s">
        <v>237</v>
      </c>
      <c r="H166">
        <v>1</v>
      </c>
      <c r="I166">
        <v>0</v>
      </c>
      <c r="J166">
        <v>0</v>
      </c>
      <c r="K166">
        <v>0</v>
      </c>
      <c r="L166">
        <v>0</v>
      </c>
    </row>
    <row r="167" spans="1:12" x14ac:dyDescent="0.35">
      <c r="A167" t="s">
        <v>287</v>
      </c>
      <c r="B167" s="7">
        <v>43692.551562499997</v>
      </c>
      <c r="C167" t="s">
        <v>108</v>
      </c>
      <c r="D167" t="s">
        <v>238</v>
      </c>
      <c r="E167">
        <v>1</v>
      </c>
      <c r="F167" t="s">
        <v>240</v>
      </c>
      <c r="G167" t="s">
        <v>237</v>
      </c>
      <c r="H167">
        <v>0</v>
      </c>
      <c r="I167">
        <v>0</v>
      </c>
      <c r="J167">
        <v>1</v>
      </c>
      <c r="K167">
        <v>0</v>
      </c>
      <c r="L167">
        <v>0</v>
      </c>
    </row>
    <row r="168" spans="1:12" x14ac:dyDescent="0.35">
      <c r="A168" t="s">
        <v>285</v>
      </c>
      <c r="B168" s="7">
        <v>43692.551562499997</v>
      </c>
      <c r="C168" t="s">
        <v>24</v>
      </c>
      <c r="D168" t="s">
        <v>31</v>
      </c>
      <c r="E168">
        <v>1</v>
      </c>
      <c r="F168" t="s">
        <v>242</v>
      </c>
      <c r="G168" t="s">
        <v>231</v>
      </c>
      <c r="H168">
        <v>1</v>
      </c>
      <c r="I168">
        <v>0</v>
      </c>
      <c r="J168">
        <v>0</v>
      </c>
      <c r="K168">
        <v>0</v>
      </c>
      <c r="L168">
        <v>0</v>
      </c>
    </row>
    <row r="169" spans="1:12" x14ac:dyDescent="0.35">
      <c r="A169" t="s">
        <v>285</v>
      </c>
      <c r="B169" s="7">
        <v>43692.551562499997</v>
      </c>
      <c r="C169" t="s">
        <v>24</v>
      </c>
      <c r="D169" t="s">
        <v>31</v>
      </c>
      <c r="E169">
        <v>1</v>
      </c>
      <c r="F169" t="s">
        <v>242</v>
      </c>
      <c r="G169" t="s">
        <v>231</v>
      </c>
      <c r="H169">
        <v>1</v>
      </c>
      <c r="I169">
        <v>0</v>
      </c>
      <c r="J169">
        <v>0</v>
      </c>
      <c r="K169">
        <v>0</v>
      </c>
      <c r="L169">
        <v>0</v>
      </c>
    </row>
    <row r="170" spans="1:12" x14ac:dyDescent="0.35">
      <c r="A170" t="s">
        <v>288</v>
      </c>
      <c r="B170" s="7">
        <v>43693.551562499997</v>
      </c>
      <c r="C170" t="s">
        <v>24</v>
      </c>
      <c r="D170" t="s">
        <v>229</v>
      </c>
      <c r="E170">
        <v>1</v>
      </c>
      <c r="F170" t="s">
        <v>230</v>
      </c>
      <c r="G170" t="s">
        <v>231</v>
      </c>
      <c r="H170">
        <v>1</v>
      </c>
      <c r="I170">
        <v>0</v>
      </c>
      <c r="J170">
        <v>0</v>
      </c>
      <c r="K170">
        <v>0</v>
      </c>
      <c r="L170">
        <v>0</v>
      </c>
    </row>
    <row r="171" spans="1:12" x14ac:dyDescent="0.35">
      <c r="A171" t="s">
        <v>288</v>
      </c>
      <c r="B171" s="7">
        <v>43693.551562499997</v>
      </c>
      <c r="C171" t="s">
        <v>24</v>
      </c>
      <c r="D171" t="s">
        <v>235</v>
      </c>
      <c r="E171">
        <v>1</v>
      </c>
      <c r="F171" t="s">
        <v>230</v>
      </c>
      <c r="G171" t="s">
        <v>231</v>
      </c>
      <c r="H171">
        <v>1</v>
      </c>
      <c r="I171">
        <v>0</v>
      </c>
      <c r="J171">
        <v>0</v>
      </c>
      <c r="K171">
        <v>0</v>
      </c>
      <c r="L171">
        <v>0</v>
      </c>
    </row>
    <row r="172" spans="1:12" x14ac:dyDescent="0.35">
      <c r="A172" t="s">
        <v>289</v>
      </c>
      <c r="B172" s="7">
        <v>43693.551562499997</v>
      </c>
      <c r="C172" t="s">
        <v>228</v>
      </c>
      <c r="D172" t="s">
        <v>34</v>
      </c>
      <c r="E172">
        <v>1</v>
      </c>
      <c r="F172" t="s">
        <v>239</v>
      </c>
      <c r="G172" t="s">
        <v>237</v>
      </c>
      <c r="H172">
        <v>0</v>
      </c>
      <c r="I172">
        <v>1</v>
      </c>
      <c r="J172">
        <v>0</v>
      </c>
      <c r="K172">
        <v>0</v>
      </c>
      <c r="L172">
        <v>0</v>
      </c>
    </row>
    <row r="173" spans="1:12" x14ac:dyDescent="0.35">
      <c r="A173" t="s">
        <v>288</v>
      </c>
      <c r="B173" s="7">
        <v>43693.551562499997</v>
      </c>
      <c r="C173" t="s">
        <v>24</v>
      </c>
      <c r="D173" t="s">
        <v>238</v>
      </c>
      <c r="E173">
        <v>1</v>
      </c>
      <c r="F173" t="s">
        <v>240</v>
      </c>
      <c r="G173" t="s">
        <v>237</v>
      </c>
      <c r="H173">
        <v>1</v>
      </c>
      <c r="I173">
        <v>0</v>
      </c>
      <c r="J173">
        <v>0</v>
      </c>
      <c r="K173">
        <v>0</v>
      </c>
      <c r="L173">
        <v>0</v>
      </c>
    </row>
    <row r="174" spans="1:12" x14ac:dyDescent="0.35">
      <c r="A174" t="s">
        <v>290</v>
      </c>
      <c r="B174" s="7">
        <v>43694.551562499997</v>
      </c>
      <c r="C174" t="s">
        <v>24</v>
      </c>
      <c r="D174" t="s">
        <v>31</v>
      </c>
      <c r="E174">
        <v>1</v>
      </c>
      <c r="F174" t="s">
        <v>230</v>
      </c>
      <c r="G174" t="s">
        <v>231</v>
      </c>
      <c r="H174">
        <v>1</v>
      </c>
      <c r="I174">
        <v>0</v>
      </c>
      <c r="J174">
        <v>0</v>
      </c>
      <c r="K174">
        <v>0</v>
      </c>
      <c r="L174">
        <v>0</v>
      </c>
    </row>
    <row r="175" spans="1:12" x14ac:dyDescent="0.35">
      <c r="A175" t="s">
        <v>290</v>
      </c>
      <c r="B175" s="7">
        <v>43694.551562499997</v>
      </c>
      <c r="C175" t="s">
        <v>24</v>
      </c>
      <c r="D175" t="s">
        <v>233</v>
      </c>
      <c r="E175">
        <v>1</v>
      </c>
      <c r="F175" t="s">
        <v>230</v>
      </c>
      <c r="G175" t="s">
        <v>231</v>
      </c>
      <c r="H175">
        <v>1</v>
      </c>
      <c r="I175">
        <v>0</v>
      </c>
      <c r="J175">
        <v>0</v>
      </c>
      <c r="K175">
        <v>0</v>
      </c>
      <c r="L175">
        <v>0</v>
      </c>
    </row>
    <row r="176" spans="1:12" x14ac:dyDescent="0.35">
      <c r="A176" t="s">
        <v>290</v>
      </c>
      <c r="B176" s="7">
        <v>43694.551562499997</v>
      </c>
      <c r="C176" t="s">
        <v>24</v>
      </c>
      <c r="D176" t="s">
        <v>34</v>
      </c>
      <c r="E176">
        <v>1</v>
      </c>
      <c r="F176" t="s">
        <v>230</v>
      </c>
      <c r="G176" t="s">
        <v>231</v>
      </c>
      <c r="H176">
        <v>1</v>
      </c>
      <c r="I176">
        <v>0</v>
      </c>
      <c r="J176">
        <v>0</v>
      </c>
      <c r="K176">
        <v>0</v>
      </c>
      <c r="L176">
        <v>0</v>
      </c>
    </row>
    <row r="177" spans="1:12" x14ac:dyDescent="0.35">
      <c r="A177" t="s">
        <v>291</v>
      </c>
      <c r="B177" s="7">
        <v>43694.551562499997</v>
      </c>
      <c r="C177" t="s">
        <v>108</v>
      </c>
      <c r="D177" t="s">
        <v>31</v>
      </c>
      <c r="E177">
        <v>1</v>
      </c>
      <c r="F177" t="s">
        <v>230</v>
      </c>
      <c r="G177" t="s">
        <v>231</v>
      </c>
      <c r="H177">
        <v>0</v>
      </c>
      <c r="I177">
        <v>0</v>
      </c>
      <c r="J177">
        <v>1</v>
      </c>
      <c r="K177">
        <v>0</v>
      </c>
      <c r="L177">
        <v>0</v>
      </c>
    </row>
    <row r="178" spans="1:12" x14ac:dyDescent="0.35">
      <c r="A178" t="s">
        <v>292</v>
      </c>
      <c r="B178" s="7">
        <v>43694.551562499997</v>
      </c>
      <c r="C178" t="s">
        <v>228</v>
      </c>
      <c r="D178" t="s">
        <v>31</v>
      </c>
      <c r="E178">
        <v>1</v>
      </c>
      <c r="F178" t="s">
        <v>249</v>
      </c>
      <c r="G178" t="s">
        <v>231</v>
      </c>
      <c r="H178">
        <v>0</v>
      </c>
      <c r="I178">
        <v>1</v>
      </c>
      <c r="J178">
        <v>0</v>
      </c>
      <c r="K178">
        <v>0</v>
      </c>
      <c r="L178">
        <v>0</v>
      </c>
    </row>
    <row r="179" spans="1:12" x14ac:dyDescent="0.35">
      <c r="A179" t="s">
        <v>291</v>
      </c>
      <c r="B179" s="7">
        <v>43694.551562499997</v>
      </c>
      <c r="C179" t="s">
        <v>108</v>
      </c>
      <c r="D179" t="s">
        <v>31</v>
      </c>
      <c r="E179">
        <v>1</v>
      </c>
      <c r="F179" t="s">
        <v>249</v>
      </c>
      <c r="G179" t="s">
        <v>231</v>
      </c>
      <c r="H179">
        <v>0</v>
      </c>
      <c r="I179">
        <v>0</v>
      </c>
      <c r="J179">
        <v>1</v>
      </c>
      <c r="K179">
        <v>0</v>
      </c>
      <c r="L179">
        <v>0</v>
      </c>
    </row>
    <row r="180" spans="1:12" x14ac:dyDescent="0.35">
      <c r="A180" t="s">
        <v>290</v>
      </c>
      <c r="B180" s="7">
        <v>43694.551562499997</v>
      </c>
      <c r="C180" t="s">
        <v>24</v>
      </c>
      <c r="D180" t="s">
        <v>233</v>
      </c>
      <c r="E180">
        <v>1</v>
      </c>
      <c r="F180" t="s">
        <v>249</v>
      </c>
      <c r="G180" t="s">
        <v>231</v>
      </c>
      <c r="H180">
        <v>1</v>
      </c>
      <c r="I180">
        <v>0</v>
      </c>
      <c r="J180">
        <v>0</v>
      </c>
      <c r="K180">
        <v>0</v>
      </c>
      <c r="L180">
        <v>0</v>
      </c>
    </row>
    <row r="181" spans="1:12" x14ac:dyDescent="0.35">
      <c r="A181" t="s">
        <v>290</v>
      </c>
      <c r="B181" s="7">
        <v>43694.551562499997</v>
      </c>
      <c r="C181" t="s">
        <v>24</v>
      </c>
      <c r="D181" t="s">
        <v>238</v>
      </c>
      <c r="E181">
        <v>1</v>
      </c>
      <c r="F181" t="s">
        <v>242</v>
      </c>
      <c r="G181" t="s">
        <v>231</v>
      </c>
      <c r="H181">
        <v>1</v>
      </c>
      <c r="I181">
        <v>0</v>
      </c>
      <c r="J181">
        <v>0</v>
      </c>
      <c r="K181">
        <v>0</v>
      </c>
      <c r="L181">
        <v>0</v>
      </c>
    </row>
    <row r="182" spans="1:12" x14ac:dyDescent="0.35">
      <c r="A182" t="s">
        <v>291</v>
      </c>
      <c r="B182" s="7">
        <v>43694.551562499997</v>
      </c>
      <c r="C182" t="s">
        <v>108</v>
      </c>
      <c r="D182" t="s">
        <v>229</v>
      </c>
      <c r="E182">
        <v>1</v>
      </c>
      <c r="F182" t="s">
        <v>242</v>
      </c>
      <c r="G182" t="s">
        <v>231</v>
      </c>
      <c r="H182">
        <v>0</v>
      </c>
      <c r="I182">
        <v>0</v>
      </c>
      <c r="J182">
        <v>1</v>
      </c>
      <c r="K182">
        <v>0</v>
      </c>
      <c r="L182">
        <v>0</v>
      </c>
    </row>
    <row r="183" spans="1:12" x14ac:dyDescent="0.35">
      <c r="A183" t="s">
        <v>290</v>
      </c>
      <c r="B183" s="7">
        <v>43694.551562499997</v>
      </c>
      <c r="C183" t="s">
        <v>24</v>
      </c>
      <c r="D183" t="s">
        <v>235</v>
      </c>
      <c r="E183">
        <v>1</v>
      </c>
      <c r="F183" t="s">
        <v>242</v>
      </c>
      <c r="G183" t="s">
        <v>231</v>
      </c>
      <c r="H183">
        <v>1</v>
      </c>
      <c r="I183">
        <v>0</v>
      </c>
      <c r="J183">
        <v>0</v>
      </c>
      <c r="K183">
        <v>0</v>
      </c>
      <c r="L183">
        <v>0</v>
      </c>
    </row>
    <row r="184" spans="1:12" x14ac:dyDescent="0.35">
      <c r="A184" t="s">
        <v>293</v>
      </c>
      <c r="B184" s="7">
        <v>43695.551562499997</v>
      </c>
      <c r="C184" t="s">
        <v>24</v>
      </c>
      <c r="D184" t="s">
        <v>229</v>
      </c>
      <c r="E184">
        <v>1</v>
      </c>
      <c r="F184" t="s">
        <v>230</v>
      </c>
      <c r="G184" t="s">
        <v>231</v>
      </c>
      <c r="H184">
        <v>1</v>
      </c>
      <c r="I184">
        <v>0</v>
      </c>
      <c r="J184">
        <v>0</v>
      </c>
      <c r="K184">
        <v>0</v>
      </c>
      <c r="L184">
        <v>0</v>
      </c>
    </row>
    <row r="185" spans="1:12" x14ac:dyDescent="0.35">
      <c r="A185" t="s">
        <v>293</v>
      </c>
      <c r="B185" s="7">
        <v>43695.551562499997</v>
      </c>
      <c r="C185" t="s">
        <v>24</v>
      </c>
      <c r="D185" t="s">
        <v>233</v>
      </c>
      <c r="E185">
        <v>1</v>
      </c>
      <c r="F185" t="s">
        <v>230</v>
      </c>
      <c r="G185" t="s">
        <v>231</v>
      </c>
      <c r="H185">
        <v>1</v>
      </c>
      <c r="I185">
        <v>0</v>
      </c>
      <c r="J185">
        <v>0</v>
      </c>
      <c r="K185">
        <v>0</v>
      </c>
      <c r="L185">
        <v>0</v>
      </c>
    </row>
    <row r="186" spans="1:12" x14ac:dyDescent="0.35">
      <c r="A186" t="s">
        <v>294</v>
      </c>
      <c r="B186" s="7">
        <v>43695.551562499997</v>
      </c>
      <c r="C186" t="s">
        <v>108</v>
      </c>
      <c r="D186" t="s">
        <v>233</v>
      </c>
      <c r="E186">
        <v>1</v>
      </c>
      <c r="F186" t="s">
        <v>230</v>
      </c>
      <c r="G186" t="s">
        <v>231</v>
      </c>
      <c r="H186">
        <v>0</v>
      </c>
      <c r="I186">
        <v>0</v>
      </c>
      <c r="J186">
        <v>1</v>
      </c>
      <c r="K186">
        <v>0</v>
      </c>
      <c r="L186">
        <v>0</v>
      </c>
    </row>
    <row r="187" spans="1:12" x14ac:dyDescent="0.35">
      <c r="A187" t="s">
        <v>294</v>
      </c>
      <c r="B187" s="7">
        <v>43695.551562499997</v>
      </c>
      <c r="C187" t="s">
        <v>108</v>
      </c>
      <c r="D187" t="s">
        <v>229</v>
      </c>
      <c r="E187">
        <v>1</v>
      </c>
      <c r="F187" t="s">
        <v>249</v>
      </c>
      <c r="G187" t="s">
        <v>231</v>
      </c>
      <c r="H187">
        <v>0</v>
      </c>
      <c r="I187">
        <v>0</v>
      </c>
      <c r="J187">
        <v>1</v>
      </c>
      <c r="K187">
        <v>0</v>
      </c>
      <c r="L187">
        <v>0</v>
      </c>
    </row>
    <row r="188" spans="1:12" x14ac:dyDescent="0.35">
      <c r="A188" t="s">
        <v>293</v>
      </c>
      <c r="B188" s="7">
        <v>43695.551562499997</v>
      </c>
      <c r="C188" t="s">
        <v>24</v>
      </c>
      <c r="D188" t="s">
        <v>31</v>
      </c>
      <c r="E188">
        <v>1</v>
      </c>
      <c r="F188" t="s">
        <v>236</v>
      </c>
      <c r="G188" t="s">
        <v>237</v>
      </c>
      <c r="H188">
        <v>1</v>
      </c>
      <c r="I188">
        <v>0</v>
      </c>
      <c r="J188">
        <v>0</v>
      </c>
      <c r="K188">
        <v>0</v>
      </c>
      <c r="L188">
        <v>0</v>
      </c>
    </row>
    <row r="189" spans="1:12" x14ac:dyDescent="0.35">
      <c r="A189" t="s">
        <v>293</v>
      </c>
      <c r="B189" s="7">
        <v>43695.551562499997</v>
      </c>
      <c r="C189" t="s">
        <v>24</v>
      </c>
      <c r="D189" t="s">
        <v>31</v>
      </c>
      <c r="E189">
        <v>1</v>
      </c>
      <c r="F189" t="s">
        <v>236</v>
      </c>
      <c r="G189" t="s">
        <v>237</v>
      </c>
      <c r="H189">
        <v>1</v>
      </c>
      <c r="I189">
        <v>0</v>
      </c>
      <c r="J189">
        <v>0</v>
      </c>
      <c r="K189">
        <v>0</v>
      </c>
      <c r="L189">
        <v>0</v>
      </c>
    </row>
    <row r="190" spans="1:12" x14ac:dyDescent="0.35">
      <c r="A190" t="s">
        <v>295</v>
      </c>
      <c r="B190" s="7">
        <v>43695.551562499997</v>
      </c>
      <c r="C190" t="s">
        <v>228</v>
      </c>
      <c r="D190" t="s">
        <v>229</v>
      </c>
      <c r="E190">
        <v>1</v>
      </c>
      <c r="F190" t="s">
        <v>239</v>
      </c>
      <c r="G190" t="s">
        <v>237</v>
      </c>
      <c r="H190">
        <v>0</v>
      </c>
      <c r="I190">
        <v>1</v>
      </c>
      <c r="J190">
        <v>0</v>
      </c>
      <c r="K190">
        <v>0</v>
      </c>
      <c r="L190">
        <v>0</v>
      </c>
    </row>
    <row r="191" spans="1:12" x14ac:dyDescent="0.35">
      <c r="A191" t="s">
        <v>293</v>
      </c>
      <c r="B191" s="7">
        <v>43695.551562499997</v>
      </c>
      <c r="C191" t="s">
        <v>24</v>
      </c>
      <c r="D191" t="s">
        <v>233</v>
      </c>
      <c r="E191">
        <v>1</v>
      </c>
      <c r="F191" t="s">
        <v>239</v>
      </c>
      <c r="G191" t="s">
        <v>237</v>
      </c>
      <c r="H191">
        <v>1</v>
      </c>
      <c r="I191">
        <v>0</v>
      </c>
      <c r="J191">
        <v>0</v>
      </c>
      <c r="K191">
        <v>0</v>
      </c>
      <c r="L191">
        <v>0</v>
      </c>
    </row>
    <row r="192" spans="1:12" x14ac:dyDescent="0.35">
      <c r="A192" t="s">
        <v>293</v>
      </c>
      <c r="B192" s="7">
        <v>43695.551562499997</v>
      </c>
      <c r="C192" t="s">
        <v>24</v>
      </c>
      <c r="D192" t="s">
        <v>229</v>
      </c>
      <c r="E192">
        <v>1</v>
      </c>
      <c r="F192" t="s">
        <v>239</v>
      </c>
      <c r="G192" t="s">
        <v>237</v>
      </c>
      <c r="H192">
        <v>1</v>
      </c>
      <c r="I192">
        <v>0</v>
      </c>
      <c r="J192">
        <v>0</v>
      </c>
      <c r="K192">
        <v>0</v>
      </c>
      <c r="L192">
        <v>0</v>
      </c>
    </row>
    <row r="193" spans="1:12" x14ac:dyDescent="0.35">
      <c r="A193" t="s">
        <v>295</v>
      </c>
      <c r="B193" s="7">
        <v>43695.551562499997</v>
      </c>
      <c r="C193" t="s">
        <v>228</v>
      </c>
      <c r="D193" t="s">
        <v>229</v>
      </c>
      <c r="E193">
        <v>1</v>
      </c>
      <c r="F193" t="s">
        <v>239</v>
      </c>
      <c r="G193" t="s">
        <v>237</v>
      </c>
      <c r="H193">
        <v>0</v>
      </c>
      <c r="I193">
        <v>1</v>
      </c>
      <c r="J193">
        <v>0</v>
      </c>
      <c r="K193">
        <v>0</v>
      </c>
      <c r="L193">
        <v>0</v>
      </c>
    </row>
    <row r="194" spans="1:12" x14ac:dyDescent="0.35">
      <c r="A194" t="s">
        <v>295</v>
      </c>
      <c r="B194" s="7">
        <v>43695.551562499997</v>
      </c>
      <c r="C194" t="s">
        <v>228</v>
      </c>
      <c r="D194" t="s">
        <v>233</v>
      </c>
      <c r="E194">
        <v>1</v>
      </c>
      <c r="F194" t="s">
        <v>240</v>
      </c>
      <c r="G194" t="s">
        <v>237</v>
      </c>
      <c r="H194">
        <v>0</v>
      </c>
      <c r="I194">
        <v>1</v>
      </c>
      <c r="J194">
        <v>0</v>
      </c>
      <c r="K194">
        <v>0</v>
      </c>
      <c r="L194">
        <v>0</v>
      </c>
    </row>
    <row r="195" spans="1:12" x14ac:dyDescent="0.35">
      <c r="A195" t="s">
        <v>293</v>
      </c>
      <c r="B195" s="7">
        <v>43695.551562499997</v>
      </c>
      <c r="C195" t="s">
        <v>24</v>
      </c>
      <c r="D195" t="s">
        <v>229</v>
      </c>
      <c r="E195">
        <v>1</v>
      </c>
      <c r="F195" t="s">
        <v>240</v>
      </c>
      <c r="G195" t="s">
        <v>237</v>
      </c>
      <c r="H195">
        <v>1</v>
      </c>
      <c r="I195">
        <v>0</v>
      </c>
      <c r="J195">
        <v>0</v>
      </c>
      <c r="K195">
        <v>0</v>
      </c>
      <c r="L195">
        <v>0</v>
      </c>
    </row>
    <row r="196" spans="1:12" x14ac:dyDescent="0.35">
      <c r="A196" t="s">
        <v>293</v>
      </c>
      <c r="B196" s="7">
        <v>43695.551562499997</v>
      </c>
      <c r="C196" t="s">
        <v>24</v>
      </c>
      <c r="D196" t="s">
        <v>238</v>
      </c>
      <c r="E196">
        <v>1</v>
      </c>
      <c r="F196" t="s">
        <v>242</v>
      </c>
      <c r="G196" t="s">
        <v>231</v>
      </c>
      <c r="H196">
        <v>1</v>
      </c>
      <c r="I196">
        <v>0</v>
      </c>
      <c r="J196">
        <v>0</v>
      </c>
      <c r="K196">
        <v>0</v>
      </c>
      <c r="L196">
        <v>0</v>
      </c>
    </row>
    <row r="197" spans="1:12" x14ac:dyDescent="0.35">
      <c r="A197" t="s">
        <v>295</v>
      </c>
      <c r="B197" s="7">
        <v>43695.551562499997</v>
      </c>
      <c r="C197" t="s">
        <v>228</v>
      </c>
      <c r="D197" t="s">
        <v>235</v>
      </c>
      <c r="E197">
        <v>1</v>
      </c>
      <c r="F197" t="s">
        <v>242</v>
      </c>
      <c r="G197" t="s">
        <v>231</v>
      </c>
      <c r="H197">
        <v>0</v>
      </c>
      <c r="I197">
        <v>1</v>
      </c>
      <c r="J197">
        <v>0</v>
      </c>
      <c r="K197">
        <v>0</v>
      </c>
      <c r="L197">
        <v>0</v>
      </c>
    </row>
    <row r="198" spans="1:12" x14ac:dyDescent="0.35">
      <c r="A198" t="s">
        <v>296</v>
      </c>
      <c r="B198" s="7">
        <v>43696.551562499997</v>
      </c>
      <c r="C198" t="s">
        <v>24</v>
      </c>
      <c r="D198" t="s">
        <v>34</v>
      </c>
      <c r="E198">
        <v>1</v>
      </c>
      <c r="F198" t="s">
        <v>230</v>
      </c>
      <c r="G198" t="s">
        <v>231</v>
      </c>
      <c r="H198">
        <v>1</v>
      </c>
      <c r="I198">
        <v>0</v>
      </c>
      <c r="J198">
        <v>0</v>
      </c>
      <c r="K198">
        <v>0</v>
      </c>
      <c r="L198">
        <v>0</v>
      </c>
    </row>
    <row r="199" spans="1:12" x14ac:dyDescent="0.35">
      <c r="A199" t="s">
        <v>296</v>
      </c>
      <c r="B199" s="7">
        <v>43696.551562499997</v>
      </c>
      <c r="C199" t="s">
        <v>24</v>
      </c>
      <c r="D199" t="s">
        <v>229</v>
      </c>
      <c r="E199">
        <v>1</v>
      </c>
      <c r="F199" t="s">
        <v>230</v>
      </c>
      <c r="G199" t="s">
        <v>231</v>
      </c>
      <c r="H199">
        <v>1</v>
      </c>
      <c r="I199">
        <v>0</v>
      </c>
      <c r="J199">
        <v>0</v>
      </c>
      <c r="K199">
        <v>0</v>
      </c>
      <c r="L199">
        <v>0</v>
      </c>
    </row>
    <row r="200" spans="1:12" x14ac:dyDescent="0.35">
      <c r="A200" t="s">
        <v>296</v>
      </c>
      <c r="B200" s="7">
        <v>43696.551562499997</v>
      </c>
      <c r="C200" t="s">
        <v>24</v>
      </c>
      <c r="D200" t="s">
        <v>31</v>
      </c>
      <c r="E200">
        <v>1</v>
      </c>
      <c r="F200" t="s">
        <v>249</v>
      </c>
      <c r="G200" t="s">
        <v>231</v>
      </c>
      <c r="H200">
        <v>1</v>
      </c>
      <c r="I200">
        <v>0</v>
      </c>
      <c r="J200">
        <v>0</v>
      </c>
      <c r="K200">
        <v>0</v>
      </c>
      <c r="L200">
        <v>0</v>
      </c>
    </row>
    <row r="201" spans="1:12" x14ac:dyDescent="0.35">
      <c r="A201" t="s">
        <v>296</v>
      </c>
      <c r="B201" s="7">
        <v>43696.551562499997</v>
      </c>
      <c r="C201" t="s">
        <v>24</v>
      </c>
      <c r="D201" t="s">
        <v>31</v>
      </c>
      <c r="E201">
        <v>1</v>
      </c>
      <c r="F201" t="s">
        <v>236</v>
      </c>
      <c r="G201" t="s">
        <v>237</v>
      </c>
      <c r="H201">
        <v>1</v>
      </c>
      <c r="I201">
        <v>0</v>
      </c>
      <c r="J201">
        <v>0</v>
      </c>
      <c r="K201">
        <v>0</v>
      </c>
      <c r="L201">
        <v>0</v>
      </c>
    </row>
    <row r="202" spans="1:12" x14ac:dyDescent="0.35">
      <c r="A202" t="s">
        <v>297</v>
      </c>
      <c r="B202" s="7">
        <v>43696.551562499997</v>
      </c>
      <c r="C202" t="s">
        <v>108</v>
      </c>
      <c r="D202" t="s">
        <v>235</v>
      </c>
      <c r="E202">
        <v>1</v>
      </c>
      <c r="F202" t="s">
        <v>236</v>
      </c>
      <c r="G202" t="s">
        <v>237</v>
      </c>
      <c r="H202">
        <v>0</v>
      </c>
      <c r="I202">
        <v>0</v>
      </c>
      <c r="J202">
        <v>1</v>
      </c>
      <c r="K202">
        <v>0</v>
      </c>
      <c r="L202">
        <v>0</v>
      </c>
    </row>
    <row r="203" spans="1:12" x14ac:dyDescent="0.35">
      <c r="A203" t="s">
        <v>296</v>
      </c>
      <c r="B203" s="7">
        <v>43696.551562499997</v>
      </c>
      <c r="C203" t="s">
        <v>24</v>
      </c>
      <c r="D203" t="s">
        <v>238</v>
      </c>
      <c r="E203">
        <v>1</v>
      </c>
      <c r="F203" t="s">
        <v>236</v>
      </c>
      <c r="G203" t="s">
        <v>237</v>
      </c>
      <c r="H203">
        <v>1</v>
      </c>
      <c r="I203">
        <v>0</v>
      </c>
      <c r="J203">
        <v>0</v>
      </c>
      <c r="K203">
        <v>0</v>
      </c>
      <c r="L203">
        <v>0</v>
      </c>
    </row>
    <row r="204" spans="1:12" x14ac:dyDescent="0.35">
      <c r="A204" t="s">
        <v>296</v>
      </c>
      <c r="B204" s="7">
        <v>43696.551562499997</v>
      </c>
      <c r="C204" t="s">
        <v>24</v>
      </c>
      <c r="D204" t="s">
        <v>235</v>
      </c>
      <c r="E204">
        <v>1</v>
      </c>
      <c r="F204" t="s">
        <v>239</v>
      </c>
      <c r="G204" t="s">
        <v>237</v>
      </c>
      <c r="H204">
        <v>1</v>
      </c>
      <c r="I204">
        <v>0</v>
      </c>
      <c r="J204">
        <v>0</v>
      </c>
      <c r="K204">
        <v>0</v>
      </c>
      <c r="L204">
        <v>0</v>
      </c>
    </row>
    <row r="205" spans="1:12" x14ac:dyDescent="0.35">
      <c r="A205" t="s">
        <v>298</v>
      </c>
      <c r="B205" s="7">
        <v>43697.551562499997</v>
      </c>
      <c r="C205" t="s">
        <v>85</v>
      </c>
      <c r="D205" t="s">
        <v>238</v>
      </c>
      <c r="E205">
        <v>1</v>
      </c>
      <c r="F205" t="s">
        <v>230</v>
      </c>
      <c r="G205" t="s">
        <v>231</v>
      </c>
      <c r="H205">
        <v>0</v>
      </c>
      <c r="I205">
        <v>0</v>
      </c>
      <c r="J205">
        <v>0</v>
      </c>
      <c r="K205">
        <v>1</v>
      </c>
      <c r="L205">
        <v>0</v>
      </c>
    </row>
    <row r="206" spans="1:12" x14ac:dyDescent="0.35">
      <c r="A206" t="s">
        <v>299</v>
      </c>
      <c r="B206" s="7">
        <v>43697.551562499997</v>
      </c>
      <c r="C206" t="s">
        <v>108</v>
      </c>
      <c r="D206" t="s">
        <v>34</v>
      </c>
      <c r="E206">
        <v>1</v>
      </c>
      <c r="F206" t="s">
        <v>249</v>
      </c>
      <c r="G206" t="s">
        <v>231</v>
      </c>
      <c r="H206">
        <v>0</v>
      </c>
      <c r="I206">
        <v>0</v>
      </c>
      <c r="J206">
        <v>1</v>
      </c>
      <c r="K206">
        <v>0</v>
      </c>
      <c r="L206">
        <v>0</v>
      </c>
    </row>
    <row r="207" spans="1:12" x14ac:dyDescent="0.35">
      <c r="A207" t="s">
        <v>300</v>
      </c>
      <c r="B207" s="7">
        <v>43697.551562499997</v>
      </c>
      <c r="C207" t="s">
        <v>24</v>
      </c>
      <c r="D207" t="s">
        <v>229</v>
      </c>
      <c r="E207">
        <v>1</v>
      </c>
      <c r="F207" t="s">
        <v>249</v>
      </c>
      <c r="G207" t="s">
        <v>231</v>
      </c>
      <c r="H207">
        <v>1</v>
      </c>
      <c r="I207">
        <v>0</v>
      </c>
      <c r="J207">
        <v>0</v>
      </c>
      <c r="K207">
        <v>0</v>
      </c>
      <c r="L207">
        <v>0</v>
      </c>
    </row>
    <row r="208" spans="1:12" x14ac:dyDescent="0.35">
      <c r="A208" t="s">
        <v>300</v>
      </c>
      <c r="B208" s="7">
        <v>43697.551562499997</v>
      </c>
      <c r="C208" t="s">
        <v>24</v>
      </c>
      <c r="D208" t="s">
        <v>233</v>
      </c>
      <c r="E208">
        <v>1</v>
      </c>
      <c r="F208" t="s">
        <v>236</v>
      </c>
      <c r="G208" t="s">
        <v>237</v>
      </c>
      <c r="H208">
        <v>1</v>
      </c>
      <c r="I208">
        <v>0</v>
      </c>
      <c r="J208">
        <v>0</v>
      </c>
      <c r="K208">
        <v>0</v>
      </c>
      <c r="L208">
        <v>0</v>
      </c>
    </row>
    <row r="209" spans="1:12" x14ac:dyDescent="0.35">
      <c r="A209" t="s">
        <v>300</v>
      </c>
      <c r="B209" s="7">
        <v>43697.551562499997</v>
      </c>
      <c r="C209" t="s">
        <v>24</v>
      </c>
      <c r="D209" t="s">
        <v>235</v>
      </c>
      <c r="E209">
        <v>1</v>
      </c>
      <c r="F209" t="s">
        <v>242</v>
      </c>
      <c r="G209" t="s">
        <v>231</v>
      </c>
      <c r="H209">
        <v>1</v>
      </c>
      <c r="I209">
        <v>0</v>
      </c>
      <c r="J209">
        <v>0</v>
      </c>
      <c r="K209">
        <v>0</v>
      </c>
      <c r="L209">
        <v>0</v>
      </c>
    </row>
    <row r="210" spans="1:12" x14ac:dyDescent="0.35">
      <c r="A210" t="s">
        <v>301</v>
      </c>
      <c r="B210" s="7">
        <v>43698.551562499997</v>
      </c>
      <c r="C210" t="s">
        <v>85</v>
      </c>
      <c r="D210" t="s">
        <v>238</v>
      </c>
      <c r="E210">
        <v>1</v>
      </c>
      <c r="F210" t="s">
        <v>230</v>
      </c>
      <c r="G210" t="s">
        <v>231</v>
      </c>
      <c r="H210">
        <v>0</v>
      </c>
      <c r="I210">
        <v>0</v>
      </c>
      <c r="J210">
        <v>0</v>
      </c>
      <c r="K210">
        <v>1</v>
      </c>
      <c r="L210">
        <v>0</v>
      </c>
    </row>
    <row r="211" spans="1:12" x14ac:dyDescent="0.35">
      <c r="A211" t="s">
        <v>302</v>
      </c>
      <c r="B211" s="7">
        <v>43698.551562499997</v>
      </c>
      <c r="C211" t="s">
        <v>24</v>
      </c>
      <c r="D211" t="s">
        <v>238</v>
      </c>
      <c r="E211">
        <v>1</v>
      </c>
      <c r="F211" t="s">
        <v>230</v>
      </c>
      <c r="G211" t="s">
        <v>231</v>
      </c>
      <c r="H211">
        <v>1</v>
      </c>
      <c r="I211">
        <v>0</v>
      </c>
      <c r="J211">
        <v>0</v>
      </c>
      <c r="K211">
        <v>0</v>
      </c>
      <c r="L211">
        <v>0</v>
      </c>
    </row>
    <row r="212" spans="1:12" x14ac:dyDescent="0.35">
      <c r="A212" t="s">
        <v>302</v>
      </c>
      <c r="B212" s="7">
        <v>43698.551562499997</v>
      </c>
      <c r="C212" t="s">
        <v>24</v>
      </c>
      <c r="D212" t="s">
        <v>238</v>
      </c>
      <c r="E212">
        <v>1</v>
      </c>
      <c r="F212" t="s">
        <v>230</v>
      </c>
      <c r="G212" t="s">
        <v>231</v>
      </c>
      <c r="H212">
        <v>1</v>
      </c>
      <c r="I212">
        <v>0</v>
      </c>
      <c r="J212">
        <v>0</v>
      </c>
      <c r="K212">
        <v>0</v>
      </c>
      <c r="L212">
        <v>0</v>
      </c>
    </row>
    <row r="213" spans="1:12" x14ac:dyDescent="0.35">
      <c r="A213" t="s">
        <v>303</v>
      </c>
      <c r="B213" s="7">
        <v>43698.551562499997</v>
      </c>
      <c r="C213" t="s">
        <v>228</v>
      </c>
      <c r="D213" t="s">
        <v>31</v>
      </c>
      <c r="E213">
        <v>1</v>
      </c>
      <c r="F213" t="s">
        <v>230</v>
      </c>
      <c r="G213" t="s">
        <v>231</v>
      </c>
      <c r="H213">
        <v>0</v>
      </c>
      <c r="I213">
        <v>1</v>
      </c>
      <c r="J213">
        <v>0</v>
      </c>
      <c r="K213">
        <v>0</v>
      </c>
      <c r="L213">
        <v>0</v>
      </c>
    </row>
    <row r="214" spans="1:12" x14ac:dyDescent="0.35">
      <c r="A214" t="s">
        <v>302</v>
      </c>
      <c r="B214" s="7">
        <v>43698.551562499997</v>
      </c>
      <c r="C214" t="s">
        <v>24</v>
      </c>
      <c r="D214" t="s">
        <v>31</v>
      </c>
      <c r="E214">
        <v>1</v>
      </c>
      <c r="F214" t="s">
        <v>236</v>
      </c>
      <c r="G214" t="s">
        <v>237</v>
      </c>
      <c r="H214">
        <v>1</v>
      </c>
      <c r="I214">
        <v>0</v>
      </c>
      <c r="J214">
        <v>0</v>
      </c>
      <c r="K214">
        <v>0</v>
      </c>
      <c r="L214">
        <v>0</v>
      </c>
    </row>
    <row r="215" spans="1:12" x14ac:dyDescent="0.35">
      <c r="A215" t="s">
        <v>302</v>
      </c>
      <c r="B215" s="7">
        <v>43698.551562499997</v>
      </c>
      <c r="C215" t="s">
        <v>24</v>
      </c>
      <c r="D215" t="s">
        <v>31</v>
      </c>
      <c r="E215">
        <v>1</v>
      </c>
      <c r="F215" t="s">
        <v>236</v>
      </c>
      <c r="G215" t="s">
        <v>237</v>
      </c>
      <c r="H215">
        <v>1</v>
      </c>
      <c r="I215">
        <v>0</v>
      </c>
      <c r="J215">
        <v>0</v>
      </c>
      <c r="K215">
        <v>0</v>
      </c>
      <c r="L215">
        <v>0</v>
      </c>
    </row>
    <row r="216" spans="1:12" x14ac:dyDescent="0.35">
      <c r="A216" t="s">
        <v>302</v>
      </c>
      <c r="B216" s="7">
        <v>43698.551562499997</v>
      </c>
      <c r="C216" t="s">
        <v>24</v>
      </c>
      <c r="D216" t="s">
        <v>238</v>
      </c>
      <c r="E216">
        <v>1</v>
      </c>
      <c r="F216" t="s">
        <v>236</v>
      </c>
      <c r="G216" t="s">
        <v>237</v>
      </c>
      <c r="H216">
        <v>1</v>
      </c>
      <c r="I216">
        <v>0</v>
      </c>
      <c r="J216">
        <v>0</v>
      </c>
      <c r="K216">
        <v>0</v>
      </c>
      <c r="L216">
        <v>0</v>
      </c>
    </row>
    <row r="217" spans="1:12" x14ac:dyDescent="0.35">
      <c r="A217" t="s">
        <v>303</v>
      </c>
      <c r="B217" s="7">
        <v>43698.551562499997</v>
      </c>
      <c r="C217" t="s">
        <v>228</v>
      </c>
      <c r="D217" t="s">
        <v>229</v>
      </c>
      <c r="E217">
        <v>1</v>
      </c>
      <c r="F217" t="s">
        <v>236</v>
      </c>
      <c r="G217" t="s">
        <v>237</v>
      </c>
      <c r="H217">
        <v>0</v>
      </c>
      <c r="I217">
        <v>1</v>
      </c>
      <c r="J217">
        <v>0</v>
      </c>
      <c r="K217">
        <v>0</v>
      </c>
      <c r="L217">
        <v>0</v>
      </c>
    </row>
    <row r="218" spans="1:12" x14ac:dyDescent="0.35">
      <c r="A218" t="s">
        <v>301</v>
      </c>
      <c r="B218" s="7">
        <v>43698.551562499997</v>
      </c>
      <c r="C218" t="s">
        <v>85</v>
      </c>
      <c r="D218" t="s">
        <v>235</v>
      </c>
      <c r="E218">
        <v>1</v>
      </c>
      <c r="F218" t="s">
        <v>239</v>
      </c>
      <c r="G218" t="s">
        <v>237</v>
      </c>
      <c r="H218">
        <v>0</v>
      </c>
      <c r="I218">
        <v>0</v>
      </c>
      <c r="J218">
        <v>0</v>
      </c>
      <c r="K218">
        <v>1</v>
      </c>
      <c r="L218">
        <v>0</v>
      </c>
    </row>
    <row r="219" spans="1:12" x14ac:dyDescent="0.35">
      <c r="A219" t="s">
        <v>303</v>
      </c>
      <c r="B219" s="7">
        <v>43698.551562499997</v>
      </c>
      <c r="C219" t="s">
        <v>228</v>
      </c>
      <c r="D219" t="s">
        <v>31</v>
      </c>
      <c r="E219">
        <v>1</v>
      </c>
      <c r="F219" t="s">
        <v>240</v>
      </c>
      <c r="G219" t="s">
        <v>237</v>
      </c>
      <c r="H219">
        <v>0</v>
      </c>
      <c r="I219">
        <v>1</v>
      </c>
      <c r="J219">
        <v>0</v>
      </c>
      <c r="K219">
        <v>0</v>
      </c>
      <c r="L219">
        <v>0</v>
      </c>
    </row>
    <row r="220" spans="1:12" x14ac:dyDescent="0.35">
      <c r="A220" t="s">
        <v>301</v>
      </c>
      <c r="B220" s="7">
        <v>43698.551562499997</v>
      </c>
      <c r="C220" t="s">
        <v>85</v>
      </c>
      <c r="D220" t="s">
        <v>235</v>
      </c>
      <c r="E220">
        <v>1</v>
      </c>
      <c r="F220" t="s">
        <v>240</v>
      </c>
      <c r="G220" t="s">
        <v>237</v>
      </c>
      <c r="H220">
        <v>0</v>
      </c>
      <c r="I220">
        <v>0</v>
      </c>
      <c r="J220">
        <v>0</v>
      </c>
      <c r="K220">
        <v>1</v>
      </c>
      <c r="L220">
        <v>0</v>
      </c>
    </row>
    <row r="221" spans="1:12" x14ac:dyDescent="0.35">
      <c r="A221" t="s">
        <v>304</v>
      </c>
      <c r="B221" s="7">
        <v>43699.551562499997</v>
      </c>
      <c r="C221" t="s">
        <v>24</v>
      </c>
      <c r="D221" t="s">
        <v>34</v>
      </c>
      <c r="E221">
        <v>1</v>
      </c>
      <c r="F221" t="s">
        <v>249</v>
      </c>
      <c r="G221" t="s">
        <v>231</v>
      </c>
      <c r="H221">
        <v>1</v>
      </c>
      <c r="I221">
        <v>0</v>
      </c>
      <c r="J221">
        <v>0</v>
      </c>
      <c r="K221">
        <v>0</v>
      </c>
      <c r="L221">
        <v>0</v>
      </c>
    </row>
    <row r="222" spans="1:12" x14ac:dyDescent="0.35">
      <c r="A222" t="s">
        <v>305</v>
      </c>
      <c r="B222" s="7">
        <v>43699.551562499997</v>
      </c>
      <c r="C222" t="s">
        <v>108</v>
      </c>
      <c r="D222" t="s">
        <v>229</v>
      </c>
      <c r="E222">
        <v>1</v>
      </c>
      <c r="F222" t="s">
        <v>249</v>
      </c>
      <c r="G222" t="s">
        <v>231</v>
      </c>
      <c r="H222">
        <v>0</v>
      </c>
      <c r="I222">
        <v>0</v>
      </c>
      <c r="J222">
        <v>1</v>
      </c>
      <c r="K222">
        <v>0</v>
      </c>
      <c r="L222">
        <v>0</v>
      </c>
    </row>
    <row r="223" spans="1:12" x14ac:dyDescent="0.35">
      <c r="A223" t="s">
        <v>304</v>
      </c>
      <c r="B223" s="7">
        <v>43699.551562499997</v>
      </c>
      <c r="C223" t="s">
        <v>24</v>
      </c>
      <c r="D223" t="s">
        <v>238</v>
      </c>
      <c r="E223">
        <v>1</v>
      </c>
      <c r="F223" t="s">
        <v>239</v>
      </c>
      <c r="G223" t="s">
        <v>237</v>
      </c>
      <c r="H223">
        <v>1</v>
      </c>
      <c r="I223">
        <v>0</v>
      </c>
      <c r="J223">
        <v>0</v>
      </c>
      <c r="K223">
        <v>0</v>
      </c>
      <c r="L223">
        <v>0</v>
      </c>
    </row>
    <row r="224" spans="1:12" x14ac:dyDescent="0.35">
      <c r="A224" t="s">
        <v>304</v>
      </c>
      <c r="B224" s="7">
        <v>43699.551562499997</v>
      </c>
      <c r="C224" t="s">
        <v>24</v>
      </c>
      <c r="D224" t="s">
        <v>233</v>
      </c>
      <c r="E224">
        <v>1</v>
      </c>
      <c r="F224" t="s">
        <v>239</v>
      </c>
      <c r="G224" t="s">
        <v>237</v>
      </c>
      <c r="H224">
        <v>1</v>
      </c>
      <c r="I224">
        <v>0</v>
      </c>
      <c r="J224">
        <v>0</v>
      </c>
      <c r="K224">
        <v>0</v>
      </c>
      <c r="L224">
        <v>0</v>
      </c>
    </row>
    <row r="225" spans="1:12" x14ac:dyDescent="0.35">
      <c r="A225" t="s">
        <v>304</v>
      </c>
      <c r="B225" s="7">
        <v>43699.551562499997</v>
      </c>
      <c r="C225" t="s">
        <v>24</v>
      </c>
      <c r="D225" t="s">
        <v>34</v>
      </c>
      <c r="E225">
        <v>1</v>
      </c>
      <c r="F225" t="s">
        <v>239</v>
      </c>
      <c r="G225" t="s">
        <v>237</v>
      </c>
      <c r="H225">
        <v>1</v>
      </c>
      <c r="I225">
        <v>0</v>
      </c>
      <c r="J225">
        <v>0</v>
      </c>
      <c r="K225">
        <v>0</v>
      </c>
      <c r="L225">
        <v>0</v>
      </c>
    </row>
    <row r="226" spans="1:12" x14ac:dyDescent="0.35">
      <c r="A226" t="s">
        <v>304</v>
      </c>
      <c r="B226" s="7">
        <v>43699.551562499997</v>
      </c>
      <c r="C226" t="s">
        <v>24</v>
      </c>
      <c r="D226" t="s">
        <v>235</v>
      </c>
      <c r="E226">
        <v>1</v>
      </c>
      <c r="F226" t="s">
        <v>240</v>
      </c>
      <c r="G226" t="s">
        <v>237</v>
      </c>
      <c r="H226">
        <v>1</v>
      </c>
      <c r="I226">
        <v>0</v>
      </c>
      <c r="J226">
        <v>0</v>
      </c>
      <c r="K226">
        <v>0</v>
      </c>
      <c r="L226">
        <v>0</v>
      </c>
    </row>
    <row r="227" spans="1:12" x14ac:dyDescent="0.35">
      <c r="A227" t="s">
        <v>304</v>
      </c>
      <c r="B227" s="7">
        <v>43699.551562499997</v>
      </c>
      <c r="C227" t="s">
        <v>24</v>
      </c>
      <c r="D227" t="s">
        <v>229</v>
      </c>
      <c r="E227">
        <v>1</v>
      </c>
      <c r="F227" t="s">
        <v>240</v>
      </c>
      <c r="G227" t="s">
        <v>237</v>
      </c>
      <c r="H227">
        <v>1</v>
      </c>
      <c r="I227">
        <v>0</v>
      </c>
      <c r="J227">
        <v>0</v>
      </c>
      <c r="K227">
        <v>0</v>
      </c>
      <c r="L227">
        <v>0</v>
      </c>
    </row>
    <row r="228" spans="1:12" x14ac:dyDescent="0.35">
      <c r="A228" t="s">
        <v>306</v>
      </c>
      <c r="B228" s="7">
        <v>43699.551562499997</v>
      </c>
      <c r="C228" t="s">
        <v>228</v>
      </c>
      <c r="D228" t="s">
        <v>229</v>
      </c>
      <c r="E228">
        <v>1</v>
      </c>
      <c r="F228" t="s">
        <v>240</v>
      </c>
      <c r="G228" t="s">
        <v>237</v>
      </c>
      <c r="H228">
        <v>0</v>
      </c>
      <c r="I228">
        <v>1</v>
      </c>
      <c r="J228">
        <v>0</v>
      </c>
      <c r="K228">
        <v>0</v>
      </c>
      <c r="L228">
        <v>0</v>
      </c>
    </row>
    <row r="229" spans="1:12" x14ac:dyDescent="0.35">
      <c r="A229" t="s">
        <v>304</v>
      </c>
      <c r="B229" s="7">
        <v>43699.551562499997</v>
      </c>
      <c r="C229" t="s">
        <v>24</v>
      </c>
      <c r="D229" t="s">
        <v>238</v>
      </c>
      <c r="E229">
        <v>1</v>
      </c>
      <c r="F229" t="s">
        <v>240</v>
      </c>
      <c r="G229" t="s">
        <v>237</v>
      </c>
      <c r="H229">
        <v>1</v>
      </c>
      <c r="I229">
        <v>0</v>
      </c>
      <c r="J229">
        <v>0</v>
      </c>
      <c r="K229">
        <v>0</v>
      </c>
      <c r="L229">
        <v>0</v>
      </c>
    </row>
    <row r="230" spans="1:12" x14ac:dyDescent="0.35">
      <c r="A230" t="s">
        <v>306</v>
      </c>
      <c r="B230" s="7">
        <v>43699.551562499997</v>
      </c>
      <c r="C230" t="s">
        <v>228</v>
      </c>
      <c r="D230" t="s">
        <v>31</v>
      </c>
      <c r="E230">
        <v>1</v>
      </c>
      <c r="F230" t="s">
        <v>240</v>
      </c>
      <c r="G230" t="s">
        <v>237</v>
      </c>
      <c r="H230">
        <v>0</v>
      </c>
      <c r="I230">
        <v>1</v>
      </c>
      <c r="J230">
        <v>0</v>
      </c>
      <c r="K230">
        <v>0</v>
      </c>
      <c r="L230">
        <v>0</v>
      </c>
    </row>
    <row r="231" spans="1:12" x14ac:dyDescent="0.35">
      <c r="A231" t="s">
        <v>304</v>
      </c>
      <c r="B231" s="7">
        <v>43699.551562499997</v>
      </c>
      <c r="C231" t="s">
        <v>24</v>
      </c>
      <c r="D231" t="s">
        <v>229</v>
      </c>
      <c r="E231">
        <v>1</v>
      </c>
      <c r="F231" t="s">
        <v>242</v>
      </c>
      <c r="G231" t="s">
        <v>231</v>
      </c>
      <c r="H231">
        <v>1</v>
      </c>
      <c r="I231">
        <v>0</v>
      </c>
      <c r="J231">
        <v>0</v>
      </c>
      <c r="K231">
        <v>0</v>
      </c>
      <c r="L231">
        <v>0</v>
      </c>
    </row>
    <row r="232" spans="1:12" x14ac:dyDescent="0.35">
      <c r="A232" t="s">
        <v>304</v>
      </c>
      <c r="B232" s="7">
        <v>43699.551562499997</v>
      </c>
      <c r="C232" t="s">
        <v>24</v>
      </c>
      <c r="D232" t="s">
        <v>229</v>
      </c>
      <c r="E232">
        <v>1</v>
      </c>
      <c r="F232" t="s">
        <v>242</v>
      </c>
      <c r="G232" t="s">
        <v>231</v>
      </c>
      <c r="H232">
        <v>1</v>
      </c>
      <c r="I232">
        <v>0</v>
      </c>
      <c r="J232">
        <v>0</v>
      </c>
      <c r="K232">
        <v>0</v>
      </c>
      <c r="L232">
        <v>0</v>
      </c>
    </row>
    <row r="233" spans="1:12" x14ac:dyDescent="0.35">
      <c r="A233" t="s">
        <v>304</v>
      </c>
      <c r="B233" s="7">
        <v>43699.551562499997</v>
      </c>
      <c r="C233" t="s">
        <v>24</v>
      </c>
      <c r="D233" t="s">
        <v>233</v>
      </c>
      <c r="E233">
        <v>1</v>
      </c>
      <c r="F233" t="s">
        <v>242</v>
      </c>
      <c r="G233" t="s">
        <v>231</v>
      </c>
      <c r="H233">
        <v>1</v>
      </c>
      <c r="I233">
        <v>0</v>
      </c>
      <c r="J233">
        <v>0</v>
      </c>
      <c r="K233">
        <v>0</v>
      </c>
      <c r="L233">
        <v>0</v>
      </c>
    </row>
    <row r="234" spans="1:12" x14ac:dyDescent="0.35">
      <c r="A234" t="s">
        <v>306</v>
      </c>
      <c r="B234" s="7">
        <v>43699.551562499997</v>
      </c>
      <c r="C234" t="s">
        <v>228</v>
      </c>
      <c r="D234" t="s">
        <v>229</v>
      </c>
      <c r="E234">
        <v>1</v>
      </c>
      <c r="F234" t="s">
        <v>242</v>
      </c>
      <c r="G234" t="s">
        <v>231</v>
      </c>
      <c r="H234">
        <v>0</v>
      </c>
      <c r="I234">
        <v>1</v>
      </c>
      <c r="J234">
        <v>0</v>
      </c>
      <c r="K234">
        <v>0</v>
      </c>
      <c r="L234">
        <v>0</v>
      </c>
    </row>
    <row r="235" spans="1:12" x14ac:dyDescent="0.35">
      <c r="A235" t="s">
        <v>307</v>
      </c>
      <c r="B235" s="7">
        <v>43700.551562499997</v>
      </c>
      <c r="C235" t="s">
        <v>85</v>
      </c>
      <c r="D235" t="s">
        <v>34</v>
      </c>
      <c r="E235">
        <v>1</v>
      </c>
      <c r="F235" t="s">
        <v>230</v>
      </c>
      <c r="G235" t="s">
        <v>231</v>
      </c>
      <c r="H235">
        <v>0</v>
      </c>
      <c r="I235">
        <v>0</v>
      </c>
      <c r="J235">
        <v>0</v>
      </c>
      <c r="K235">
        <v>1</v>
      </c>
      <c r="L235">
        <v>0</v>
      </c>
    </row>
    <row r="236" spans="1:12" x14ac:dyDescent="0.35">
      <c r="A236" t="s">
        <v>308</v>
      </c>
      <c r="B236" s="7">
        <v>43700.551562499997</v>
      </c>
      <c r="C236" t="s">
        <v>108</v>
      </c>
      <c r="D236" t="s">
        <v>233</v>
      </c>
      <c r="E236">
        <v>1</v>
      </c>
      <c r="F236" t="s">
        <v>230</v>
      </c>
      <c r="G236" t="s">
        <v>231</v>
      </c>
      <c r="H236">
        <v>0</v>
      </c>
      <c r="I236">
        <v>0</v>
      </c>
      <c r="J236">
        <v>1</v>
      </c>
      <c r="K236">
        <v>0</v>
      </c>
      <c r="L236">
        <v>0</v>
      </c>
    </row>
    <row r="237" spans="1:12" x14ac:dyDescent="0.35">
      <c r="A237" t="s">
        <v>309</v>
      </c>
      <c r="B237" s="7">
        <v>43700.551562499997</v>
      </c>
      <c r="C237" t="s">
        <v>24</v>
      </c>
      <c r="D237" t="s">
        <v>34</v>
      </c>
      <c r="E237">
        <v>1</v>
      </c>
      <c r="F237" t="s">
        <v>249</v>
      </c>
      <c r="G237" t="s">
        <v>231</v>
      </c>
      <c r="H237">
        <v>1</v>
      </c>
      <c r="I237">
        <v>0</v>
      </c>
      <c r="J237">
        <v>0</v>
      </c>
      <c r="K237">
        <v>0</v>
      </c>
      <c r="L237">
        <v>0</v>
      </c>
    </row>
    <row r="238" spans="1:12" x14ac:dyDescent="0.35">
      <c r="A238" t="s">
        <v>309</v>
      </c>
      <c r="B238" s="7">
        <v>43700.551562499997</v>
      </c>
      <c r="C238" t="s">
        <v>24</v>
      </c>
      <c r="D238" t="s">
        <v>233</v>
      </c>
      <c r="E238">
        <v>1</v>
      </c>
      <c r="F238" t="s">
        <v>236</v>
      </c>
      <c r="G238" t="s">
        <v>237</v>
      </c>
      <c r="H238">
        <v>1</v>
      </c>
      <c r="I238">
        <v>0</v>
      </c>
      <c r="J238">
        <v>0</v>
      </c>
      <c r="K238">
        <v>0</v>
      </c>
      <c r="L238">
        <v>0</v>
      </c>
    </row>
    <row r="239" spans="1:12" x14ac:dyDescent="0.35">
      <c r="A239" t="s">
        <v>309</v>
      </c>
      <c r="B239" s="7">
        <v>43700.551562499997</v>
      </c>
      <c r="C239" t="s">
        <v>24</v>
      </c>
      <c r="D239" t="s">
        <v>34</v>
      </c>
      <c r="E239">
        <v>1</v>
      </c>
      <c r="F239" t="s">
        <v>239</v>
      </c>
      <c r="G239" t="s">
        <v>237</v>
      </c>
      <c r="H239">
        <v>1</v>
      </c>
      <c r="I239">
        <v>0</v>
      </c>
      <c r="J239">
        <v>0</v>
      </c>
      <c r="K239">
        <v>0</v>
      </c>
      <c r="L239">
        <v>0</v>
      </c>
    </row>
    <row r="240" spans="1:12" x14ac:dyDescent="0.35">
      <c r="A240" t="s">
        <v>309</v>
      </c>
      <c r="B240" s="7">
        <v>43700.551562499997</v>
      </c>
      <c r="C240" t="s">
        <v>24</v>
      </c>
      <c r="D240" t="s">
        <v>235</v>
      </c>
      <c r="E240">
        <v>1</v>
      </c>
      <c r="F240" t="s">
        <v>240</v>
      </c>
      <c r="G240" t="s">
        <v>237</v>
      </c>
      <c r="H240">
        <v>1</v>
      </c>
      <c r="I240">
        <v>0</v>
      </c>
      <c r="J240">
        <v>0</v>
      </c>
      <c r="K240">
        <v>0</v>
      </c>
      <c r="L240">
        <v>0</v>
      </c>
    </row>
    <row r="241" spans="1:12" x14ac:dyDescent="0.35">
      <c r="A241" t="s">
        <v>307</v>
      </c>
      <c r="B241" s="7">
        <v>43700.551562499997</v>
      </c>
      <c r="C241" t="s">
        <v>85</v>
      </c>
      <c r="D241" t="s">
        <v>34</v>
      </c>
      <c r="E241">
        <v>1</v>
      </c>
      <c r="F241" t="s">
        <v>240</v>
      </c>
      <c r="G241" t="s">
        <v>237</v>
      </c>
      <c r="H241">
        <v>0</v>
      </c>
      <c r="I241">
        <v>0</v>
      </c>
      <c r="J241">
        <v>0</v>
      </c>
      <c r="K241">
        <v>1</v>
      </c>
      <c r="L241">
        <v>0</v>
      </c>
    </row>
    <row r="242" spans="1:12" x14ac:dyDescent="0.35">
      <c r="A242" t="s">
        <v>310</v>
      </c>
      <c r="B242" s="7">
        <v>43701.551562499997</v>
      </c>
      <c r="C242" t="s">
        <v>24</v>
      </c>
      <c r="D242" t="s">
        <v>238</v>
      </c>
      <c r="E242">
        <v>1</v>
      </c>
      <c r="F242" t="s">
        <v>230</v>
      </c>
      <c r="G242" t="s">
        <v>231</v>
      </c>
      <c r="H242">
        <v>1</v>
      </c>
      <c r="I242">
        <v>0</v>
      </c>
      <c r="J242">
        <v>0</v>
      </c>
      <c r="K242">
        <v>0</v>
      </c>
      <c r="L242">
        <v>0</v>
      </c>
    </row>
    <row r="243" spans="1:12" x14ac:dyDescent="0.35">
      <c r="A243" t="s">
        <v>310</v>
      </c>
      <c r="B243" s="7">
        <v>43701.551562499997</v>
      </c>
      <c r="C243" t="s">
        <v>24</v>
      </c>
      <c r="D243" t="s">
        <v>235</v>
      </c>
      <c r="E243">
        <v>1</v>
      </c>
      <c r="F243" t="s">
        <v>249</v>
      </c>
      <c r="G243" t="s">
        <v>231</v>
      </c>
      <c r="H243">
        <v>1</v>
      </c>
      <c r="I243">
        <v>0</v>
      </c>
      <c r="J243">
        <v>0</v>
      </c>
      <c r="K243">
        <v>0</v>
      </c>
      <c r="L243">
        <v>0</v>
      </c>
    </row>
    <row r="244" spans="1:12" x14ac:dyDescent="0.35">
      <c r="A244" t="s">
        <v>310</v>
      </c>
      <c r="B244" s="7">
        <v>43701.551562499997</v>
      </c>
      <c r="C244" t="s">
        <v>24</v>
      </c>
      <c r="D244" t="s">
        <v>34</v>
      </c>
      <c r="E244">
        <v>1</v>
      </c>
      <c r="F244" t="s">
        <v>249</v>
      </c>
      <c r="G244" t="s">
        <v>231</v>
      </c>
      <c r="H244">
        <v>1</v>
      </c>
      <c r="I244">
        <v>0</v>
      </c>
      <c r="J244">
        <v>0</v>
      </c>
      <c r="K244">
        <v>0</v>
      </c>
      <c r="L244">
        <v>0</v>
      </c>
    </row>
    <row r="245" spans="1:12" x14ac:dyDescent="0.35">
      <c r="A245" t="s">
        <v>311</v>
      </c>
      <c r="B245" s="7">
        <v>43701.551562499997</v>
      </c>
      <c r="C245" t="s">
        <v>108</v>
      </c>
      <c r="D245" t="s">
        <v>235</v>
      </c>
      <c r="E245">
        <v>1</v>
      </c>
      <c r="F245" t="s">
        <v>249</v>
      </c>
      <c r="G245" t="s">
        <v>231</v>
      </c>
      <c r="H245">
        <v>0</v>
      </c>
      <c r="I245">
        <v>0</v>
      </c>
      <c r="J245">
        <v>1</v>
      </c>
      <c r="K245">
        <v>0</v>
      </c>
      <c r="L245">
        <v>0</v>
      </c>
    </row>
    <row r="246" spans="1:12" x14ac:dyDescent="0.35">
      <c r="A246" t="s">
        <v>310</v>
      </c>
      <c r="B246" s="7">
        <v>43701.551562499997</v>
      </c>
      <c r="C246" t="s">
        <v>24</v>
      </c>
      <c r="D246" t="s">
        <v>233</v>
      </c>
      <c r="E246">
        <v>1</v>
      </c>
      <c r="F246" t="s">
        <v>236</v>
      </c>
      <c r="G246" t="s">
        <v>237</v>
      </c>
      <c r="H246">
        <v>1</v>
      </c>
      <c r="I246">
        <v>0</v>
      </c>
      <c r="J246">
        <v>0</v>
      </c>
      <c r="K246">
        <v>0</v>
      </c>
      <c r="L246">
        <v>0</v>
      </c>
    </row>
    <row r="247" spans="1:12" x14ac:dyDescent="0.35">
      <c r="A247" t="s">
        <v>311</v>
      </c>
      <c r="B247" s="7">
        <v>43701.551562499997</v>
      </c>
      <c r="C247" t="s">
        <v>108</v>
      </c>
      <c r="D247" t="s">
        <v>34</v>
      </c>
      <c r="E247">
        <v>1</v>
      </c>
      <c r="F247" t="s">
        <v>239</v>
      </c>
      <c r="G247" t="s">
        <v>237</v>
      </c>
      <c r="H247">
        <v>0</v>
      </c>
      <c r="I247">
        <v>0</v>
      </c>
      <c r="J247">
        <v>1</v>
      </c>
      <c r="K247">
        <v>0</v>
      </c>
      <c r="L247">
        <v>0</v>
      </c>
    </row>
    <row r="248" spans="1:12" x14ac:dyDescent="0.35">
      <c r="A248" t="s">
        <v>310</v>
      </c>
      <c r="B248" s="7">
        <v>43701.551562499997</v>
      </c>
      <c r="C248" t="s">
        <v>24</v>
      </c>
      <c r="D248" t="s">
        <v>238</v>
      </c>
      <c r="E248">
        <v>1</v>
      </c>
      <c r="F248" t="s">
        <v>239</v>
      </c>
      <c r="G248" t="s">
        <v>237</v>
      </c>
      <c r="H248">
        <v>1</v>
      </c>
      <c r="I248">
        <v>0</v>
      </c>
      <c r="J248">
        <v>0</v>
      </c>
      <c r="K248">
        <v>0</v>
      </c>
      <c r="L248">
        <v>0</v>
      </c>
    </row>
    <row r="249" spans="1:12" x14ac:dyDescent="0.35">
      <c r="A249" t="s">
        <v>310</v>
      </c>
      <c r="B249" s="7">
        <v>43701.551562499997</v>
      </c>
      <c r="C249" t="s">
        <v>24</v>
      </c>
      <c r="D249" t="s">
        <v>233</v>
      </c>
      <c r="E249">
        <v>1</v>
      </c>
      <c r="F249" t="s">
        <v>240</v>
      </c>
      <c r="G249" t="s">
        <v>237</v>
      </c>
      <c r="H249">
        <v>1</v>
      </c>
      <c r="I249">
        <v>0</v>
      </c>
      <c r="J249">
        <v>0</v>
      </c>
      <c r="K249">
        <v>0</v>
      </c>
      <c r="L249">
        <v>0</v>
      </c>
    </row>
    <row r="250" spans="1:12" x14ac:dyDescent="0.35">
      <c r="A250" t="s">
        <v>310</v>
      </c>
      <c r="B250" s="7">
        <v>43701.551562499997</v>
      </c>
      <c r="C250" t="s">
        <v>24</v>
      </c>
      <c r="D250" t="s">
        <v>238</v>
      </c>
      <c r="E250">
        <v>1</v>
      </c>
      <c r="F250" t="s">
        <v>240</v>
      </c>
      <c r="G250" t="s">
        <v>237</v>
      </c>
      <c r="H250">
        <v>1</v>
      </c>
      <c r="I250">
        <v>0</v>
      </c>
      <c r="J250">
        <v>0</v>
      </c>
      <c r="K250">
        <v>0</v>
      </c>
      <c r="L250">
        <v>0</v>
      </c>
    </row>
    <row r="251" spans="1:12" x14ac:dyDescent="0.35">
      <c r="A251" t="s">
        <v>310</v>
      </c>
      <c r="B251" s="7">
        <v>43701.551562499997</v>
      </c>
      <c r="C251" t="s">
        <v>24</v>
      </c>
      <c r="D251" t="s">
        <v>229</v>
      </c>
      <c r="E251">
        <v>1</v>
      </c>
      <c r="F251" t="s">
        <v>242</v>
      </c>
      <c r="G251" t="s">
        <v>231</v>
      </c>
      <c r="H251">
        <v>1</v>
      </c>
      <c r="I251">
        <v>0</v>
      </c>
      <c r="J251">
        <v>0</v>
      </c>
      <c r="K251">
        <v>0</v>
      </c>
      <c r="L251">
        <v>0</v>
      </c>
    </row>
    <row r="252" spans="1:12" x14ac:dyDescent="0.35">
      <c r="A252" t="s">
        <v>310</v>
      </c>
      <c r="B252" s="7">
        <v>43701.551562499997</v>
      </c>
      <c r="C252" t="s">
        <v>24</v>
      </c>
      <c r="D252" t="s">
        <v>229</v>
      </c>
      <c r="E252">
        <v>1</v>
      </c>
      <c r="F252" t="s">
        <v>242</v>
      </c>
      <c r="G252" t="s">
        <v>231</v>
      </c>
      <c r="H252">
        <v>1</v>
      </c>
      <c r="I252">
        <v>0</v>
      </c>
      <c r="J252">
        <v>0</v>
      </c>
      <c r="K252">
        <v>0</v>
      </c>
      <c r="L252">
        <v>0</v>
      </c>
    </row>
    <row r="253" spans="1:12" x14ac:dyDescent="0.35">
      <c r="A253" t="s">
        <v>310</v>
      </c>
      <c r="B253" s="7">
        <v>43701.551562499997</v>
      </c>
      <c r="C253" t="s">
        <v>24</v>
      </c>
      <c r="D253" t="s">
        <v>34</v>
      </c>
      <c r="E253">
        <v>1</v>
      </c>
      <c r="F253" t="s">
        <v>242</v>
      </c>
      <c r="G253" t="s">
        <v>231</v>
      </c>
      <c r="H253">
        <v>1</v>
      </c>
      <c r="I253">
        <v>0</v>
      </c>
      <c r="J253">
        <v>0</v>
      </c>
      <c r="K253">
        <v>0</v>
      </c>
      <c r="L253">
        <v>0</v>
      </c>
    </row>
    <row r="254" spans="1:12" x14ac:dyDescent="0.35">
      <c r="A254" t="s">
        <v>310</v>
      </c>
      <c r="B254" s="7">
        <v>43701.551562499997</v>
      </c>
      <c r="C254" t="s">
        <v>24</v>
      </c>
      <c r="D254" t="s">
        <v>238</v>
      </c>
      <c r="E254">
        <v>1</v>
      </c>
      <c r="F254" t="s">
        <v>242</v>
      </c>
      <c r="G254" t="s">
        <v>231</v>
      </c>
      <c r="H254">
        <v>1</v>
      </c>
      <c r="I254">
        <v>0</v>
      </c>
      <c r="J254">
        <v>0</v>
      </c>
      <c r="K254">
        <v>0</v>
      </c>
      <c r="L254">
        <v>0</v>
      </c>
    </row>
    <row r="255" spans="1:12" x14ac:dyDescent="0.35">
      <c r="A255" t="s">
        <v>310</v>
      </c>
      <c r="B255" s="7">
        <v>43701.551562499997</v>
      </c>
      <c r="C255" t="s">
        <v>24</v>
      </c>
      <c r="D255" t="s">
        <v>235</v>
      </c>
      <c r="E255">
        <v>1</v>
      </c>
      <c r="F255" t="s">
        <v>242</v>
      </c>
      <c r="G255" t="s">
        <v>231</v>
      </c>
      <c r="H255">
        <v>1</v>
      </c>
      <c r="I255">
        <v>0</v>
      </c>
      <c r="J255">
        <v>0</v>
      </c>
      <c r="K255">
        <v>0</v>
      </c>
      <c r="L255">
        <v>0</v>
      </c>
    </row>
    <row r="256" spans="1:12" x14ac:dyDescent="0.35">
      <c r="A256" t="s">
        <v>312</v>
      </c>
      <c r="B256" s="7">
        <v>43702.551562499997</v>
      </c>
      <c r="C256" t="s">
        <v>24</v>
      </c>
      <c r="D256" t="s">
        <v>34</v>
      </c>
      <c r="E256">
        <v>1</v>
      </c>
      <c r="F256" t="s">
        <v>230</v>
      </c>
      <c r="G256" t="s">
        <v>231</v>
      </c>
      <c r="H256">
        <v>1</v>
      </c>
      <c r="I256">
        <v>0</v>
      </c>
      <c r="J256">
        <v>0</v>
      </c>
      <c r="K256">
        <v>0</v>
      </c>
      <c r="L256">
        <v>0</v>
      </c>
    </row>
    <row r="257" spans="1:12" x14ac:dyDescent="0.35">
      <c r="A257" t="s">
        <v>312</v>
      </c>
      <c r="B257" s="7">
        <v>43702.551562499997</v>
      </c>
      <c r="C257" t="s">
        <v>24</v>
      </c>
      <c r="D257" t="s">
        <v>31</v>
      </c>
      <c r="E257">
        <v>1</v>
      </c>
      <c r="F257" t="s">
        <v>230</v>
      </c>
      <c r="G257" t="s">
        <v>231</v>
      </c>
      <c r="H257">
        <v>1</v>
      </c>
      <c r="I257">
        <v>0</v>
      </c>
      <c r="J257">
        <v>0</v>
      </c>
      <c r="K257">
        <v>0</v>
      </c>
      <c r="L257">
        <v>0</v>
      </c>
    </row>
    <row r="258" spans="1:12" x14ac:dyDescent="0.35">
      <c r="A258" t="s">
        <v>312</v>
      </c>
      <c r="B258" s="7">
        <v>43702.551562499997</v>
      </c>
      <c r="C258" t="s">
        <v>24</v>
      </c>
      <c r="D258" t="s">
        <v>229</v>
      </c>
      <c r="E258">
        <v>1</v>
      </c>
      <c r="F258" t="s">
        <v>249</v>
      </c>
      <c r="G258" t="s">
        <v>231</v>
      </c>
      <c r="H258">
        <v>1</v>
      </c>
      <c r="I258">
        <v>0</v>
      </c>
      <c r="J258">
        <v>0</v>
      </c>
      <c r="K258">
        <v>0</v>
      </c>
      <c r="L258">
        <v>0</v>
      </c>
    </row>
    <row r="259" spans="1:12" x14ac:dyDescent="0.35">
      <c r="A259" t="s">
        <v>312</v>
      </c>
      <c r="B259" s="7">
        <v>43702.551562499997</v>
      </c>
      <c r="C259" t="s">
        <v>24</v>
      </c>
      <c r="D259" t="s">
        <v>229</v>
      </c>
      <c r="E259">
        <v>1</v>
      </c>
      <c r="F259" t="s">
        <v>249</v>
      </c>
      <c r="G259" t="s">
        <v>231</v>
      </c>
      <c r="H259">
        <v>1</v>
      </c>
      <c r="I259">
        <v>0</v>
      </c>
      <c r="J259">
        <v>0</v>
      </c>
      <c r="K259">
        <v>0</v>
      </c>
      <c r="L259">
        <v>0</v>
      </c>
    </row>
    <row r="260" spans="1:12" x14ac:dyDescent="0.35">
      <c r="A260" t="s">
        <v>312</v>
      </c>
      <c r="B260" s="7">
        <v>43702.551562499997</v>
      </c>
      <c r="C260" t="s">
        <v>24</v>
      </c>
      <c r="D260" t="s">
        <v>233</v>
      </c>
      <c r="E260">
        <v>1</v>
      </c>
      <c r="F260" t="s">
        <v>236</v>
      </c>
      <c r="G260" t="s">
        <v>237</v>
      </c>
      <c r="H260">
        <v>1</v>
      </c>
      <c r="I260">
        <v>0</v>
      </c>
      <c r="J260">
        <v>0</v>
      </c>
      <c r="K260">
        <v>0</v>
      </c>
      <c r="L260">
        <v>0</v>
      </c>
    </row>
    <row r="261" spans="1:12" x14ac:dyDescent="0.35">
      <c r="A261" t="s">
        <v>312</v>
      </c>
      <c r="B261" s="7">
        <v>43702.551562499997</v>
      </c>
      <c r="C261" t="s">
        <v>24</v>
      </c>
      <c r="D261" t="s">
        <v>31</v>
      </c>
      <c r="E261">
        <v>1</v>
      </c>
      <c r="F261" t="s">
        <v>236</v>
      </c>
      <c r="G261" t="s">
        <v>237</v>
      </c>
      <c r="H261">
        <v>1</v>
      </c>
      <c r="I261">
        <v>0</v>
      </c>
      <c r="J261">
        <v>0</v>
      </c>
      <c r="K261">
        <v>0</v>
      </c>
      <c r="L261">
        <v>0</v>
      </c>
    </row>
    <row r="262" spans="1:12" x14ac:dyDescent="0.35">
      <c r="A262" t="s">
        <v>312</v>
      </c>
      <c r="B262" s="7">
        <v>43702.551562499997</v>
      </c>
      <c r="C262" t="s">
        <v>24</v>
      </c>
      <c r="D262" t="s">
        <v>34</v>
      </c>
      <c r="E262">
        <v>1</v>
      </c>
      <c r="F262" t="s">
        <v>239</v>
      </c>
      <c r="G262" t="s">
        <v>237</v>
      </c>
      <c r="H262">
        <v>1</v>
      </c>
      <c r="I262">
        <v>0</v>
      </c>
      <c r="J262">
        <v>0</v>
      </c>
      <c r="K262">
        <v>0</v>
      </c>
      <c r="L262">
        <v>0</v>
      </c>
    </row>
    <row r="263" spans="1:12" x14ac:dyDescent="0.35">
      <c r="A263" t="s">
        <v>312</v>
      </c>
      <c r="B263" s="7">
        <v>43702.551562499997</v>
      </c>
      <c r="C263" t="s">
        <v>24</v>
      </c>
      <c r="D263" t="s">
        <v>235</v>
      </c>
      <c r="E263">
        <v>1</v>
      </c>
      <c r="F263" t="s">
        <v>239</v>
      </c>
      <c r="G263" t="s">
        <v>237</v>
      </c>
      <c r="H263">
        <v>1</v>
      </c>
      <c r="I263">
        <v>0</v>
      </c>
      <c r="J263">
        <v>0</v>
      </c>
      <c r="K263">
        <v>0</v>
      </c>
      <c r="L263">
        <v>0</v>
      </c>
    </row>
    <row r="264" spans="1:12" x14ac:dyDescent="0.35">
      <c r="A264" t="s">
        <v>313</v>
      </c>
      <c r="B264" s="7">
        <v>43703.551562499997</v>
      </c>
      <c r="C264" t="s">
        <v>24</v>
      </c>
      <c r="D264" t="s">
        <v>34</v>
      </c>
      <c r="E264">
        <v>1</v>
      </c>
      <c r="F264" t="s">
        <v>249</v>
      </c>
      <c r="G264" t="s">
        <v>231</v>
      </c>
      <c r="H264">
        <v>1</v>
      </c>
      <c r="I264">
        <v>0</v>
      </c>
      <c r="J264">
        <v>0</v>
      </c>
      <c r="K264">
        <v>0</v>
      </c>
      <c r="L264">
        <v>0</v>
      </c>
    </row>
    <row r="265" spans="1:12" x14ac:dyDescent="0.35">
      <c r="A265" t="s">
        <v>313</v>
      </c>
      <c r="B265" s="7">
        <v>43703.551562499997</v>
      </c>
      <c r="C265" t="s">
        <v>24</v>
      </c>
      <c r="D265" t="s">
        <v>229</v>
      </c>
      <c r="E265">
        <v>1</v>
      </c>
      <c r="F265" t="s">
        <v>239</v>
      </c>
      <c r="G265" t="s">
        <v>237</v>
      </c>
      <c r="H265">
        <v>1</v>
      </c>
      <c r="I265">
        <v>0</v>
      </c>
      <c r="J265">
        <v>0</v>
      </c>
      <c r="K265">
        <v>0</v>
      </c>
      <c r="L265">
        <v>0</v>
      </c>
    </row>
    <row r="266" spans="1:12" x14ac:dyDescent="0.35">
      <c r="A266" t="s">
        <v>313</v>
      </c>
      <c r="B266" s="7">
        <v>43703.551562499997</v>
      </c>
      <c r="C266" t="s">
        <v>24</v>
      </c>
      <c r="D266" t="s">
        <v>235</v>
      </c>
      <c r="E266">
        <v>1</v>
      </c>
      <c r="F266" t="s">
        <v>240</v>
      </c>
      <c r="G266" t="s">
        <v>237</v>
      </c>
      <c r="H266">
        <v>1</v>
      </c>
      <c r="I266">
        <v>0</v>
      </c>
      <c r="J266">
        <v>0</v>
      </c>
      <c r="K266">
        <v>0</v>
      </c>
      <c r="L266">
        <v>0</v>
      </c>
    </row>
    <row r="267" spans="1:12" x14ac:dyDescent="0.35">
      <c r="A267" t="s">
        <v>313</v>
      </c>
      <c r="B267" s="7">
        <v>43703.551562499997</v>
      </c>
      <c r="C267" t="s">
        <v>24</v>
      </c>
      <c r="D267" t="s">
        <v>233</v>
      </c>
      <c r="E267">
        <v>1</v>
      </c>
      <c r="F267" t="s">
        <v>240</v>
      </c>
      <c r="G267" t="s">
        <v>237</v>
      </c>
      <c r="H267">
        <v>1</v>
      </c>
      <c r="I267">
        <v>0</v>
      </c>
      <c r="J267">
        <v>0</v>
      </c>
      <c r="K267">
        <v>0</v>
      </c>
      <c r="L267">
        <v>0</v>
      </c>
    </row>
    <row r="268" spans="1:12" x14ac:dyDescent="0.35">
      <c r="A268" t="s">
        <v>313</v>
      </c>
      <c r="B268" s="7">
        <v>43703.551562499997</v>
      </c>
      <c r="C268" t="s">
        <v>24</v>
      </c>
      <c r="D268" t="s">
        <v>233</v>
      </c>
      <c r="E268">
        <v>1</v>
      </c>
      <c r="F268" t="s">
        <v>240</v>
      </c>
      <c r="G268" t="s">
        <v>237</v>
      </c>
      <c r="H268">
        <v>1</v>
      </c>
      <c r="I268">
        <v>0</v>
      </c>
      <c r="J268">
        <v>0</v>
      </c>
      <c r="K268">
        <v>0</v>
      </c>
      <c r="L268">
        <v>0</v>
      </c>
    </row>
    <row r="269" spans="1:12" x14ac:dyDescent="0.35">
      <c r="A269" t="s">
        <v>314</v>
      </c>
      <c r="B269" s="7">
        <v>43704.551562499997</v>
      </c>
      <c r="C269" t="s">
        <v>228</v>
      </c>
      <c r="D269" t="s">
        <v>229</v>
      </c>
      <c r="E269">
        <v>1</v>
      </c>
      <c r="F269" t="s">
        <v>249</v>
      </c>
      <c r="G269" t="s">
        <v>231</v>
      </c>
      <c r="H269">
        <v>0</v>
      </c>
      <c r="I269">
        <v>1</v>
      </c>
      <c r="J269">
        <v>0</v>
      </c>
      <c r="K269">
        <v>0</v>
      </c>
      <c r="L269">
        <v>0</v>
      </c>
    </row>
    <row r="270" spans="1:12" x14ac:dyDescent="0.35">
      <c r="A270" t="s">
        <v>315</v>
      </c>
      <c r="B270" s="7">
        <v>43704.551562499997</v>
      </c>
      <c r="C270" t="s">
        <v>24</v>
      </c>
      <c r="D270" t="s">
        <v>229</v>
      </c>
      <c r="E270">
        <v>1</v>
      </c>
      <c r="F270" t="s">
        <v>249</v>
      </c>
      <c r="G270" t="s">
        <v>231</v>
      </c>
      <c r="H270">
        <v>1</v>
      </c>
      <c r="I270">
        <v>0</v>
      </c>
      <c r="J270">
        <v>0</v>
      </c>
      <c r="K270">
        <v>0</v>
      </c>
      <c r="L270">
        <v>0</v>
      </c>
    </row>
    <row r="271" spans="1:12" x14ac:dyDescent="0.35">
      <c r="A271" t="s">
        <v>315</v>
      </c>
      <c r="B271" s="7">
        <v>43704.551562499997</v>
      </c>
      <c r="C271" t="s">
        <v>24</v>
      </c>
      <c r="D271" t="s">
        <v>235</v>
      </c>
      <c r="E271">
        <v>1</v>
      </c>
      <c r="F271" t="s">
        <v>249</v>
      </c>
      <c r="G271" t="s">
        <v>231</v>
      </c>
      <c r="H271">
        <v>1</v>
      </c>
      <c r="I271">
        <v>0</v>
      </c>
      <c r="J271">
        <v>0</v>
      </c>
      <c r="K271">
        <v>0</v>
      </c>
      <c r="L271">
        <v>0</v>
      </c>
    </row>
    <row r="272" spans="1:12" x14ac:dyDescent="0.35">
      <c r="A272" t="s">
        <v>315</v>
      </c>
      <c r="B272" s="7">
        <v>43704.551562499997</v>
      </c>
      <c r="C272" t="s">
        <v>24</v>
      </c>
      <c r="D272" t="s">
        <v>233</v>
      </c>
      <c r="E272">
        <v>1</v>
      </c>
      <c r="F272" t="s">
        <v>236</v>
      </c>
      <c r="G272" t="s">
        <v>237</v>
      </c>
      <c r="H272">
        <v>1</v>
      </c>
      <c r="I272">
        <v>0</v>
      </c>
      <c r="J272">
        <v>0</v>
      </c>
      <c r="K272">
        <v>0</v>
      </c>
      <c r="L272">
        <v>0</v>
      </c>
    </row>
    <row r="273" spans="1:12" x14ac:dyDescent="0.35">
      <c r="A273" t="s">
        <v>315</v>
      </c>
      <c r="B273" s="7">
        <v>43704.551562499997</v>
      </c>
      <c r="C273" t="s">
        <v>24</v>
      </c>
      <c r="D273" t="s">
        <v>238</v>
      </c>
      <c r="E273">
        <v>1</v>
      </c>
      <c r="F273" t="s">
        <v>239</v>
      </c>
      <c r="G273" t="s">
        <v>237</v>
      </c>
      <c r="H273">
        <v>1</v>
      </c>
      <c r="I273">
        <v>0</v>
      </c>
      <c r="J273">
        <v>0</v>
      </c>
      <c r="K273">
        <v>0</v>
      </c>
      <c r="L273">
        <v>0</v>
      </c>
    </row>
    <row r="274" spans="1:12" x14ac:dyDescent="0.35">
      <c r="A274" t="s">
        <v>315</v>
      </c>
      <c r="B274" s="7">
        <v>43704.551562499997</v>
      </c>
      <c r="C274" t="s">
        <v>24</v>
      </c>
      <c r="D274" t="s">
        <v>235</v>
      </c>
      <c r="E274">
        <v>1</v>
      </c>
      <c r="F274" t="s">
        <v>239</v>
      </c>
      <c r="G274" t="s">
        <v>237</v>
      </c>
      <c r="H274">
        <v>1</v>
      </c>
      <c r="I274">
        <v>0</v>
      </c>
      <c r="J274">
        <v>0</v>
      </c>
      <c r="K274">
        <v>0</v>
      </c>
      <c r="L274">
        <v>0</v>
      </c>
    </row>
    <row r="275" spans="1:12" x14ac:dyDescent="0.35">
      <c r="A275" t="s">
        <v>315</v>
      </c>
      <c r="B275" s="7">
        <v>43704.551562499997</v>
      </c>
      <c r="C275" t="s">
        <v>24</v>
      </c>
      <c r="D275" t="s">
        <v>238</v>
      </c>
      <c r="E275">
        <v>1</v>
      </c>
      <c r="F275" t="s">
        <v>239</v>
      </c>
      <c r="G275" t="s">
        <v>237</v>
      </c>
      <c r="H275">
        <v>1</v>
      </c>
      <c r="I275">
        <v>0</v>
      </c>
      <c r="J275">
        <v>0</v>
      </c>
      <c r="K275">
        <v>0</v>
      </c>
      <c r="L275">
        <v>0</v>
      </c>
    </row>
    <row r="276" spans="1:12" x14ac:dyDescent="0.35">
      <c r="A276" t="s">
        <v>316</v>
      </c>
      <c r="B276" s="7">
        <v>43704.551562499997</v>
      </c>
      <c r="C276" t="s">
        <v>108</v>
      </c>
      <c r="D276" t="s">
        <v>238</v>
      </c>
      <c r="E276">
        <v>1</v>
      </c>
      <c r="F276" t="s">
        <v>239</v>
      </c>
      <c r="G276" t="s">
        <v>237</v>
      </c>
      <c r="H276">
        <v>0</v>
      </c>
      <c r="I276">
        <v>0</v>
      </c>
      <c r="J276">
        <v>1</v>
      </c>
      <c r="K276">
        <v>0</v>
      </c>
      <c r="L276">
        <v>0</v>
      </c>
    </row>
    <row r="277" spans="1:12" x14ac:dyDescent="0.35">
      <c r="A277" t="s">
        <v>315</v>
      </c>
      <c r="B277" s="7">
        <v>43704.551562499997</v>
      </c>
      <c r="C277" t="s">
        <v>24</v>
      </c>
      <c r="D277" t="s">
        <v>34</v>
      </c>
      <c r="E277">
        <v>1</v>
      </c>
      <c r="F277" t="s">
        <v>239</v>
      </c>
      <c r="G277" t="s">
        <v>237</v>
      </c>
      <c r="H277">
        <v>1</v>
      </c>
      <c r="I277">
        <v>0</v>
      </c>
      <c r="J277">
        <v>0</v>
      </c>
      <c r="K277">
        <v>0</v>
      </c>
      <c r="L277">
        <v>0</v>
      </c>
    </row>
    <row r="278" spans="1:12" x14ac:dyDescent="0.35">
      <c r="A278" t="s">
        <v>315</v>
      </c>
      <c r="B278" s="7">
        <v>43704.551562499997</v>
      </c>
      <c r="C278" t="s">
        <v>24</v>
      </c>
      <c r="D278" t="s">
        <v>233</v>
      </c>
      <c r="E278">
        <v>1</v>
      </c>
      <c r="F278" t="s">
        <v>240</v>
      </c>
      <c r="G278" t="s">
        <v>237</v>
      </c>
      <c r="H278">
        <v>1</v>
      </c>
      <c r="I278">
        <v>0</v>
      </c>
      <c r="J278">
        <v>0</v>
      </c>
      <c r="K278">
        <v>0</v>
      </c>
      <c r="L278">
        <v>0</v>
      </c>
    </row>
    <row r="279" spans="1:12" x14ac:dyDescent="0.35">
      <c r="A279" t="s">
        <v>315</v>
      </c>
      <c r="B279" s="7">
        <v>43704.551562499997</v>
      </c>
      <c r="C279" t="s">
        <v>24</v>
      </c>
      <c r="D279" t="s">
        <v>235</v>
      </c>
      <c r="E279">
        <v>1</v>
      </c>
      <c r="F279" t="s">
        <v>240</v>
      </c>
      <c r="G279" t="s">
        <v>237</v>
      </c>
      <c r="H279">
        <v>1</v>
      </c>
      <c r="I279">
        <v>0</v>
      </c>
      <c r="J279">
        <v>0</v>
      </c>
      <c r="K279">
        <v>0</v>
      </c>
      <c r="L279">
        <v>0</v>
      </c>
    </row>
    <row r="280" spans="1:12" x14ac:dyDescent="0.35">
      <c r="A280" t="s">
        <v>315</v>
      </c>
      <c r="B280" s="7">
        <v>43704.551562499997</v>
      </c>
      <c r="C280" t="s">
        <v>24</v>
      </c>
      <c r="D280" t="s">
        <v>229</v>
      </c>
      <c r="E280">
        <v>1</v>
      </c>
      <c r="F280" t="s">
        <v>242</v>
      </c>
      <c r="G280" t="s">
        <v>231</v>
      </c>
      <c r="H280">
        <v>1</v>
      </c>
      <c r="I280">
        <v>0</v>
      </c>
      <c r="J280">
        <v>0</v>
      </c>
      <c r="K280">
        <v>0</v>
      </c>
      <c r="L280">
        <v>0</v>
      </c>
    </row>
    <row r="281" spans="1:12" x14ac:dyDescent="0.35">
      <c r="A281" t="s">
        <v>315</v>
      </c>
      <c r="B281" s="7">
        <v>43704.551562499997</v>
      </c>
      <c r="C281" t="s">
        <v>24</v>
      </c>
      <c r="D281" t="s">
        <v>235</v>
      </c>
      <c r="E281">
        <v>1</v>
      </c>
      <c r="F281" t="s">
        <v>242</v>
      </c>
      <c r="G281" t="s">
        <v>231</v>
      </c>
      <c r="H281">
        <v>1</v>
      </c>
      <c r="I281">
        <v>0</v>
      </c>
      <c r="J281">
        <v>0</v>
      </c>
      <c r="K281">
        <v>0</v>
      </c>
      <c r="L281">
        <v>0</v>
      </c>
    </row>
    <row r="282" spans="1:12" x14ac:dyDescent="0.35">
      <c r="A282" t="s">
        <v>317</v>
      </c>
      <c r="B282" s="7">
        <v>43705.551562499997</v>
      </c>
      <c r="C282" t="s">
        <v>24</v>
      </c>
      <c r="D282" t="s">
        <v>31</v>
      </c>
      <c r="E282">
        <v>1</v>
      </c>
      <c r="F282" t="s">
        <v>239</v>
      </c>
      <c r="G282" t="s">
        <v>237</v>
      </c>
      <c r="H282">
        <v>1</v>
      </c>
      <c r="I282">
        <v>0</v>
      </c>
      <c r="J282">
        <v>0</v>
      </c>
      <c r="K282">
        <v>0</v>
      </c>
      <c r="L282">
        <v>0</v>
      </c>
    </row>
    <row r="283" spans="1:12" x14ac:dyDescent="0.35">
      <c r="A283" t="s">
        <v>317</v>
      </c>
      <c r="B283" s="7">
        <v>43705.551562499997</v>
      </c>
      <c r="C283" t="s">
        <v>24</v>
      </c>
      <c r="D283" t="s">
        <v>233</v>
      </c>
      <c r="E283">
        <v>1</v>
      </c>
      <c r="F283" t="s">
        <v>239</v>
      </c>
      <c r="G283" t="s">
        <v>237</v>
      </c>
      <c r="H283">
        <v>1</v>
      </c>
      <c r="I283">
        <v>0</v>
      </c>
      <c r="J283">
        <v>0</v>
      </c>
      <c r="K283">
        <v>0</v>
      </c>
      <c r="L283">
        <v>0</v>
      </c>
    </row>
    <row r="284" spans="1:12" x14ac:dyDescent="0.35">
      <c r="A284" t="s">
        <v>317</v>
      </c>
      <c r="B284" s="7">
        <v>43705.551562499997</v>
      </c>
      <c r="C284" t="s">
        <v>24</v>
      </c>
      <c r="D284" t="s">
        <v>233</v>
      </c>
      <c r="E284">
        <v>1</v>
      </c>
      <c r="F284" t="s">
        <v>239</v>
      </c>
      <c r="G284" t="s">
        <v>237</v>
      </c>
      <c r="H284">
        <v>1</v>
      </c>
      <c r="I284">
        <v>0</v>
      </c>
      <c r="J284">
        <v>0</v>
      </c>
      <c r="K284">
        <v>0</v>
      </c>
      <c r="L284">
        <v>0</v>
      </c>
    </row>
    <row r="285" spans="1:12" x14ac:dyDescent="0.35">
      <c r="A285" t="s">
        <v>318</v>
      </c>
      <c r="B285" s="7">
        <v>43705.551562499997</v>
      </c>
      <c r="C285" t="s">
        <v>228</v>
      </c>
      <c r="D285" t="s">
        <v>34</v>
      </c>
      <c r="E285">
        <v>1</v>
      </c>
      <c r="F285" t="s">
        <v>239</v>
      </c>
      <c r="G285" t="s">
        <v>237</v>
      </c>
      <c r="H285">
        <v>0</v>
      </c>
      <c r="I285">
        <v>1</v>
      </c>
      <c r="J285">
        <v>0</v>
      </c>
      <c r="K285">
        <v>0</v>
      </c>
      <c r="L285">
        <v>0</v>
      </c>
    </row>
    <row r="286" spans="1:12" x14ac:dyDescent="0.35">
      <c r="A286" t="s">
        <v>317</v>
      </c>
      <c r="B286" s="7">
        <v>43705.551562499997</v>
      </c>
      <c r="C286" t="s">
        <v>24</v>
      </c>
      <c r="D286" t="s">
        <v>233</v>
      </c>
      <c r="E286">
        <v>1</v>
      </c>
      <c r="F286" t="s">
        <v>240</v>
      </c>
      <c r="G286" t="s">
        <v>237</v>
      </c>
      <c r="H286">
        <v>1</v>
      </c>
      <c r="I286">
        <v>0</v>
      </c>
      <c r="J286">
        <v>0</v>
      </c>
      <c r="K286">
        <v>0</v>
      </c>
      <c r="L286">
        <v>0</v>
      </c>
    </row>
    <row r="287" spans="1:12" x14ac:dyDescent="0.35">
      <c r="A287" t="s">
        <v>317</v>
      </c>
      <c r="B287" s="7">
        <v>43705.551562499997</v>
      </c>
      <c r="C287" t="s">
        <v>24</v>
      </c>
      <c r="D287" t="s">
        <v>31</v>
      </c>
      <c r="E287">
        <v>1</v>
      </c>
      <c r="F287" t="s">
        <v>242</v>
      </c>
      <c r="G287" t="s">
        <v>231</v>
      </c>
      <c r="H287">
        <v>1</v>
      </c>
      <c r="I287">
        <v>0</v>
      </c>
      <c r="J287">
        <v>0</v>
      </c>
      <c r="K287">
        <v>0</v>
      </c>
      <c r="L287">
        <v>0</v>
      </c>
    </row>
    <row r="288" spans="1:12" x14ac:dyDescent="0.35">
      <c r="A288" t="s">
        <v>319</v>
      </c>
      <c r="B288" s="7">
        <v>43706.551562499997</v>
      </c>
      <c r="C288" t="s">
        <v>24</v>
      </c>
      <c r="D288" t="s">
        <v>34</v>
      </c>
      <c r="E288">
        <v>1</v>
      </c>
      <c r="F288" t="s">
        <v>230</v>
      </c>
      <c r="G288" t="s">
        <v>231</v>
      </c>
      <c r="H288">
        <v>1</v>
      </c>
      <c r="I288">
        <v>0</v>
      </c>
      <c r="J288">
        <v>0</v>
      </c>
      <c r="K288">
        <v>0</v>
      </c>
      <c r="L288">
        <v>0</v>
      </c>
    </row>
    <row r="289" spans="1:12" x14ac:dyDescent="0.35">
      <c r="A289" t="s">
        <v>320</v>
      </c>
      <c r="B289" s="7">
        <v>43706.551562499997</v>
      </c>
      <c r="C289" t="s">
        <v>108</v>
      </c>
      <c r="D289" t="s">
        <v>34</v>
      </c>
      <c r="E289">
        <v>1</v>
      </c>
      <c r="F289" t="s">
        <v>230</v>
      </c>
      <c r="G289" t="s">
        <v>231</v>
      </c>
      <c r="H289">
        <v>0</v>
      </c>
      <c r="I289">
        <v>0</v>
      </c>
      <c r="J289">
        <v>1</v>
      </c>
      <c r="K289">
        <v>0</v>
      </c>
      <c r="L289">
        <v>0</v>
      </c>
    </row>
    <row r="290" spans="1:12" x14ac:dyDescent="0.35">
      <c r="A290" t="s">
        <v>319</v>
      </c>
      <c r="B290" s="7">
        <v>43706.551562499997</v>
      </c>
      <c r="C290" t="s">
        <v>24</v>
      </c>
      <c r="D290" t="s">
        <v>31</v>
      </c>
      <c r="E290">
        <v>1</v>
      </c>
      <c r="F290" t="s">
        <v>249</v>
      </c>
      <c r="G290" t="s">
        <v>231</v>
      </c>
      <c r="H290">
        <v>1</v>
      </c>
      <c r="I290">
        <v>0</v>
      </c>
      <c r="J290">
        <v>0</v>
      </c>
      <c r="K290">
        <v>0</v>
      </c>
      <c r="L290">
        <v>0</v>
      </c>
    </row>
    <row r="291" spans="1:12" x14ac:dyDescent="0.35">
      <c r="A291" t="s">
        <v>320</v>
      </c>
      <c r="B291" s="7">
        <v>43706.551562499997</v>
      </c>
      <c r="C291" t="s">
        <v>108</v>
      </c>
      <c r="D291" t="s">
        <v>233</v>
      </c>
      <c r="E291">
        <v>1</v>
      </c>
      <c r="F291" t="s">
        <v>249</v>
      </c>
      <c r="G291" t="s">
        <v>231</v>
      </c>
      <c r="H291">
        <v>0</v>
      </c>
      <c r="I291">
        <v>0</v>
      </c>
      <c r="J291">
        <v>1</v>
      </c>
      <c r="K291">
        <v>0</v>
      </c>
      <c r="L291">
        <v>0</v>
      </c>
    </row>
    <row r="292" spans="1:12" x14ac:dyDescent="0.35">
      <c r="A292" t="s">
        <v>319</v>
      </c>
      <c r="B292" s="7">
        <v>43706.551562499997</v>
      </c>
      <c r="C292" t="s">
        <v>24</v>
      </c>
      <c r="D292" t="s">
        <v>34</v>
      </c>
      <c r="E292">
        <v>1</v>
      </c>
      <c r="F292" t="s">
        <v>249</v>
      </c>
      <c r="G292" t="s">
        <v>231</v>
      </c>
      <c r="H292">
        <v>1</v>
      </c>
      <c r="I292">
        <v>0</v>
      </c>
      <c r="J292">
        <v>0</v>
      </c>
      <c r="K292">
        <v>0</v>
      </c>
      <c r="L292">
        <v>0</v>
      </c>
    </row>
    <row r="293" spans="1:12" x14ac:dyDescent="0.35">
      <c r="A293" t="s">
        <v>319</v>
      </c>
      <c r="B293" s="7">
        <v>43706.551562499997</v>
      </c>
      <c r="C293" t="s">
        <v>24</v>
      </c>
      <c r="D293" t="s">
        <v>238</v>
      </c>
      <c r="E293">
        <v>1</v>
      </c>
      <c r="F293" t="s">
        <v>236</v>
      </c>
      <c r="G293" t="s">
        <v>237</v>
      </c>
      <c r="H293">
        <v>1</v>
      </c>
      <c r="I293">
        <v>0</v>
      </c>
      <c r="J293">
        <v>0</v>
      </c>
      <c r="K293">
        <v>0</v>
      </c>
      <c r="L293">
        <v>0</v>
      </c>
    </row>
    <row r="294" spans="1:12" x14ac:dyDescent="0.35">
      <c r="A294" t="s">
        <v>319</v>
      </c>
      <c r="B294" s="7">
        <v>43706.551562499997</v>
      </c>
      <c r="C294" t="s">
        <v>24</v>
      </c>
      <c r="D294" t="s">
        <v>34</v>
      </c>
      <c r="E294">
        <v>1</v>
      </c>
      <c r="F294" t="s">
        <v>236</v>
      </c>
      <c r="G294" t="s">
        <v>237</v>
      </c>
      <c r="H294">
        <v>1</v>
      </c>
      <c r="I294">
        <v>0</v>
      </c>
      <c r="J294">
        <v>0</v>
      </c>
      <c r="K294">
        <v>0</v>
      </c>
      <c r="L294">
        <v>0</v>
      </c>
    </row>
    <row r="295" spans="1:12" x14ac:dyDescent="0.35">
      <c r="A295" t="s">
        <v>321</v>
      </c>
      <c r="B295" s="7">
        <v>43706.551562499997</v>
      </c>
      <c r="C295" t="s">
        <v>228</v>
      </c>
      <c r="D295" t="s">
        <v>238</v>
      </c>
      <c r="E295">
        <v>1</v>
      </c>
      <c r="F295" t="s">
        <v>236</v>
      </c>
      <c r="G295" t="s">
        <v>237</v>
      </c>
      <c r="H295">
        <v>0</v>
      </c>
      <c r="I295">
        <v>1</v>
      </c>
      <c r="J295">
        <v>0</v>
      </c>
      <c r="K295">
        <v>0</v>
      </c>
      <c r="L295">
        <v>0</v>
      </c>
    </row>
    <row r="296" spans="1:12" x14ac:dyDescent="0.35">
      <c r="A296" t="s">
        <v>319</v>
      </c>
      <c r="B296" s="7">
        <v>43706.551562499997</v>
      </c>
      <c r="C296" t="s">
        <v>24</v>
      </c>
      <c r="D296" t="s">
        <v>229</v>
      </c>
      <c r="E296">
        <v>1</v>
      </c>
      <c r="F296" t="s">
        <v>240</v>
      </c>
      <c r="G296" t="s">
        <v>237</v>
      </c>
      <c r="H296">
        <v>1</v>
      </c>
      <c r="I296">
        <v>0</v>
      </c>
      <c r="J296">
        <v>0</v>
      </c>
      <c r="K296">
        <v>0</v>
      </c>
      <c r="L296">
        <v>0</v>
      </c>
    </row>
    <row r="297" spans="1:12" x14ac:dyDescent="0.35">
      <c r="A297" t="s">
        <v>321</v>
      </c>
      <c r="B297" s="7">
        <v>43706.551562499997</v>
      </c>
      <c r="C297" t="s">
        <v>228</v>
      </c>
      <c r="D297" t="s">
        <v>229</v>
      </c>
      <c r="E297">
        <v>1</v>
      </c>
      <c r="F297" t="s">
        <v>242</v>
      </c>
      <c r="G297" t="s">
        <v>231</v>
      </c>
      <c r="H297">
        <v>0</v>
      </c>
      <c r="I297">
        <v>1</v>
      </c>
      <c r="J297">
        <v>0</v>
      </c>
      <c r="K297">
        <v>0</v>
      </c>
      <c r="L297">
        <v>0</v>
      </c>
    </row>
    <row r="298" spans="1:12" x14ac:dyDescent="0.35">
      <c r="A298" t="s">
        <v>319</v>
      </c>
      <c r="B298" s="7">
        <v>43706.551562499997</v>
      </c>
      <c r="C298" t="s">
        <v>24</v>
      </c>
      <c r="D298" t="s">
        <v>235</v>
      </c>
      <c r="E298">
        <v>1</v>
      </c>
      <c r="F298" t="s">
        <v>242</v>
      </c>
      <c r="G298" t="s">
        <v>231</v>
      </c>
      <c r="H298">
        <v>1</v>
      </c>
      <c r="I298">
        <v>0</v>
      </c>
      <c r="J298">
        <v>0</v>
      </c>
      <c r="K298">
        <v>0</v>
      </c>
      <c r="L298">
        <v>0</v>
      </c>
    </row>
    <row r="299" spans="1:12" x14ac:dyDescent="0.35">
      <c r="A299" t="s">
        <v>322</v>
      </c>
      <c r="B299" s="7">
        <v>43707.551562499997</v>
      </c>
      <c r="C299" t="s">
        <v>24</v>
      </c>
      <c r="D299" t="s">
        <v>233</v>
      </c>
      <c r="E299">
        <v>1</v>
      </c>
      <c r="F299" t="s">
        <v>249</v>
      </c>
      <c r="G299" t="s">
        <v>231</v>
      </c>
      <c r="H299">
        <v>1</v>
      </c>
      <c r="I299">
        <v>0</v>
      </c>
      <c r="J299">
        <v>0</v>
      </c>
      <c r="K299">
        <v>0</v>
      </c>
      <c r="L299">
        <v>0</v>
      </c>
    </row>
    <row r="300" spans="1:12" x14ac:dyDescent="0.35">
      <c r="A300" t="s">
        <v>322</v>
      </c>
      <c r="B300" s="7">
        <v>43707.551562499997</v>
      </c>
      <c r="C300" t="s">
        <v>24</v>
      </c>
      <c r="D300" t="s">
        <v>229</v>
      </c>
      <c r="E300">
        <v>1</v>
      </c>
      <c r="F300" t="s">
        <v>249</v>
      </c>
      <c r="G300" t="s">
        <v>231</v>
      </c>
      <c r="H300">
        <v>1</v>
      </c>
      <c r="I300">
        <v>0</v>
      </c>
      <c r="J300">
        <v>0</v>
      </c>
      <c r="K300">
        <v>0</v>
      </c>
      <c r="L300">
        <v>0</v>
      </c>
    </row>
    <row r="301" spans="1:12" x14ac:dyDescent="0.35">
      <c r="A301" t="s">
        <v>322</v>
      </c>
      <c r="B301" s="7">
        <v>43707.551562499997</v>
      </c>
      <c r="C301" t="s">
        <v>24</v>
      </c>
      <c r="D301" t="s">
        <v>233</v>
      </c>
      <c r="E301">
        <v>1</v>
      </c>
      <c r="F301" t="s">
        <v>236</v>
      </c>
      <c r="G301" t="s">
        <v>237</v>
      </c>
      <c r="H301">
        <v>1</v>
      </c>
      <c r="I301">
        <v>0</v>
      </c>
      <c r="J301">
        <v>0</v>
      </c>
      <c r="K301">
        <v>0</v>
      </c>
      <c r="L301">
        <v>0</v>
      </c>
    </row>
    <row r="302" spans="1:12" x14ac:dyDescent="0.35">
      <c r="A302" t="s">
        <v>322</v>
      </c>
      <c r="B302" s="7">
        <v>43707.551562499997</v>
      </c>
      <c r="C302" t="s">
        <v>24</v>
      </c>
      <c r="D302" t="s">
        <v>233</v>
      </c>
      <c r="E302">
        <v>1</v>
      </c>
      <c r="F302" t="s">
        <v>236</v>
      </c>
      <c r="G302" t="s">
        <v>237</v>
      </c>
      <c r="H302">
        <v>1</v>
      </c>
      <c r="I302">
        <v>0</v>
      </c>
      <c r="J302">
        <v>0</v>
      </c>
      <c r="K302">
        <v>0</v>
      </c>
      <c r="L302">
        <v>0</v>
      </c>
    </row>
    <row r="303" spans="1:12" x14ac:dyDescent="0.35">
      <c r="A303" t="s">
        <v>322</v>
      </c>
      <c r="B303" s="7">
        <v>43707.551562499997</v>
      </c>
      <c r="C303" t="s">
        <v>24</v>
      </c>
      <c r="D303" t="s">
        <v>235</v>
      </c>
      <c r="E303">
        <v>1</v>
      </c>
      <c r="F303" t="s">
        <v>239</v>
      </c>
      <c r="G303" t="s">
        <v>237</v>
      </c>
      <c r="H303">
        <v>1</v>
      </c>
      <c r="I303">
        <v>0</v>
      </c>
      <c r="J303">
        <v>0</v>
      </c>
      <c r="K303">
        <v>0</v>
      </c>
      <c r="L303">
        <v>0</v>
      </c>
    </row>
    <row r="304" spans="1:12" x14ac:dyDescent="0.35">
      <c r="A304" t="s">
        <v>323</v>
      </c>
      <c r="B304" s="7">
        <v>43707.551562499997</v>
      </c>
      <c r="C304" t="s">
        <v>108</v>
      </c>
      <c r="D304" t="s">
        <v>233</v>
      </c>
      <c r="E304">
        <v>1</v>
      </c>
      <c r="F304" t="s">
        <v>240</v>
      </c>
      <c r="G304" t="s">
        <v>237</v>
      </c>
      <c r="H304">
        <v>0</v>
      </c>
      <c r="I304">
        <v>0</v>
      </c>
      <c r="J304">
        <v>1</v>
      </c>
      <c r="K304">
        <v>0</v>
      </c>
      <c r="L304">
        <v>0</v>
      </c>
    </row>
    <row r="305" spans="1:12" x14ac:dyDescent="0.35">
      <c r="A305" t="s">
        <v>323</v>
      </c>
      <c r="B305" s="7">
        <v>43707.551562499997</v>
      </c>
      <c r="C305" t="s">
        <v>108</v>
      </c>
      <c r="D305" t="s">
        <v>238</v>
      </c>
      <c r="E305">
        <v>1</v>
      </c>
      <c r="F305" t="s">
        <v>240</v>
      </c>
      <c r="G305" t="s">
        <v>237</v>
      </c>
      <c r="H305">
        <v>0</v>
      </c>
      <c r="I305">
        <v>0</v>
      </c>
      <c r="J305">
        <v>1</v>
      </c>
      <c r="K305">
        <v>0</v>
      </c>
      <c r="L305">
        <v>0</v>
      </c>
    </row>
    <row r="306" spans="1:12" x14ac:dyDescent="0.35">
      <c r="A306" t="s">
        <v>322</v>
      </c>
      <c r="B306" s="7">
        <v>43707.551562499997</v>
      </c>
      <c r="C306" t="s">
        <v>24</v>
      </c>
      <c r="D306" t="s">
        <v>238</v>
      </c>
      <c r="E306">
        <v>1</v>
      </c>
      <c r="F306" t="s">
        <v>240</v>
      </c>
      <c r="G306" t="s">
        <v>237</v>
      </c>
      <c r="H306">
        <v>1</v>
      </c>
      <c r="I306">
        <v>0</v>
      </c>
      <c r="J306">
        <v>0</v>
      </c>
      <c r="K306">
        <v>0</v>
      </c>
      <c r="L306">
        <v>0</v>
      </c>
    </row>
    <row r="307" spans="1:12" x14ac:dyDescent="0.35">
      <c r="A307" t="s">
        <v>322</v>
      </c>
      <c r="B307" s="7">
        <v>43707.551562499997</v>
      </c>
      <c r="C307" t="s">
        <v>24</v>
      </c>
      <c r="D307" t="s">
        <v>229</v>
      </c>
      <c r="E307">
        <v>1</v>
      </c>
      <c r="F307" t="s">
        <v>240</v>
      </c>
      <c r="G307" t="s">
        <v>237</v>
      </c>
      <c r="H307">
        <v>1</v>
      </c>
      <c r="I307">
        <v>0</v>
      </c>
      <c r="J307">
        <v>0</v>
      </c>
      <c r="K307">
        <v>0</v>
      </c>
      <c r="L307">
        <v>0</v>
      </c>
    </row>
    <row r="308" spans="1:12" x14ac:dyDescent="0.35">
      <c r="A308" t="s">
        <v>322</v>
      </c>
      <c r="B308" s="7">
        <v>43707.551562499997</v>
      </c>
      <c r="C308" t="s">
        <v>24</v>
      </c>
      <c r="D308" t="s">
        <v>235</v>
      </c>
      <c r="E308">
        <v>1</v>
      </c>
      <c r="F308" t="s">
        <v>242</v>
      </c>
      <c r="G308" t="s">
        <v>231</v>
      </c>
      <c r="H308">
        <v>1</v>
      </c>
      <c r="I308">
        <v>0</v>
      </c>
      <c r="J308">
        <v>0</v>
      </c>
      <c r="K308">
        <v>0</v>
      </c>
      <c r="L308">
        <v>0</v>
      </c>
    </row>
    <row r="309" spans="1:12" x14ac:dyDescent="0.35">
      <c r="A309" t="s">
        <v>324</v>
      </c>
      <c r="B309" s="7">
        <v>43709.551562499997</v>
      </c>
      <c r="C309" t="s">
        <v>24</v>
      </c>
      <c r="D309" t="s">
        <v>31</v>
      </c>
      <c r="E309">
        <v>1</v>
      </c>
      <c r="F309" t="s">
        <v>230</v>
      </c>
      <c r="G309" t="s">
        <v>231</v>
      </c>
      <c r="H309">
        <v>1</v>
      </c>
      <c r="I309">
        <v>0</v>
      </c>
      <c r="J309">
        <v>0</v>
      </c>
      <c r="K309">
        <v>0</v>
      </c>
      <c r="L309">
        <v>0</v>
      </c>
    </row>
    <row r="310" spans="1:12" x14ac:dyDescent="0.35">
      <c r="A310" t="s">
        <v>324</v>
      </c>
      <c r="B310" s="7">
        <v>43709.551562499997</v>
      </c>
      <c r="C310" t="s">
        <v>24</v>
      </c>
      <c r="D310" t="s">
        <v>34</v>
      </c>
      <c r="E310">
        <v>1</v>
      </c>
      <c r="F310" t="s">
        <v>230</v>
      </c>
      <c r="G310" t="s">
        <v>231</v>
      </c>
      <c r="H310">
        <v>1</v>
      </c>
      <c r="I310">
        <v>0</v>
      </c>
      <c r="J310">
        <v>0</v>
      </c>
      <c r="K310">
        <v>0</v>
      </c>
      <c r="L310">
        <v>0</v>
      </c>
    </row>
    <row r="311" spans="1:12" x14ac:dyDescent="0.35">
      <c r="A311" t="s">
        <v>324</v>
      </c>
      <c r="B311" s="7">
        <v>43709.551562499997</v>
      </c>
      <c r="C311" t="s">
        <v>24</v>
      </c>
      <c r="D311" t="s">
        <v>235</v>
      </c>
      <c r="E311">
        <v>1</v>
      </c>
      <c r="F311" t="s">
        <v>249</v>
      </c>
      <c r="G311" t="s">
        <v>231</v>
      </c>
      <c r="H311">
        <v>1</v>
      </c>
      <c r="I311">
        <v>0</v>
      </c>
      <c r="J311">
        <v>0</v>
      </c>
      <c r="K311">
        <v>0</v>
      </c>
      <c r="L311">
        <v>0</v>
      </c>
    </row>
    <row r="312" spans="1:12" x14ac:dyDescent="0.35">
      <c r="A312" t="s">
        <v>325</v>
      </c>
      <c r="B312" s="7">
        <v>43709.551562499997</v>
      </c>
      <c r="C312" t="s">
        <v>85</v>
      </c>
      <c r="D312" t="s">
        <v>34</v>
      </c>
      <c r="E312">
        <v>1</v>
      </c>
      <c r="F312" t="s">
        <v>249</v>
      </c>
      <c r="G312" t="s">
        <v>231</v>
      </c>
      <c r="H312">
        <v>0</v>
      </c>
      <c r="I312">
        <v>0</v>
      </c>
      <c r="J312">
        <v>0</v>
      </c>
      <c r="K312">
        <v>1</v>
      </c>
      <c r="L312">
        <v>0</v>
      </c>
    </row>
    <row r="313" spans="1:12" x14ac:dyDescent="0.35">
      <c r="A313" t="s">
        <v>324</v>
      </c>
      <c r="B313" s="7">
        <v>43709.551562499997</v>
      </c>
      <c r="C313" t="s">
        <v>24</v>
      </c>
      <c r="D313" t="s">
        <v>238</v>
      </c>
      <c r="E313">
        <v>1</v>
      </c>
      <c r="F313" t="s">
        <v>249</v>
      </c>
      <c r="G313" t="s">
        <v>231</v>
      </c>
      <c r="H313">
        <v>1</v>
      </c>
      <c r="I313">
        <v>0</v>
      </c>
      <c r="J313">
        <v>0</v>
      </c>
      <c r="K313">
        <v>0</v>
      </c>
      <c r="L313">
        <v>0</v>
      </c>
    </row>
    <row r="314" spans="1:12" x14ac:dyDescent="0.35">
      <c r="A314" t="s">
        <v>324</v>
      </c>
      <c r="B314" s="7">
        <v>43709.551562499997</v>
      </c>
      <c r="C314" t="s">
        <v>24</v>
      </c>
      <c r="D314" t="s">
        <v>235</v>
      </c>
      <c r="E314">
        <v>1</v>
      </c>
      <c r="F314" t="s">
        <v>236</v>
      </c>
      <c r="G314" t="s">
        <v>237</v>
      </c>
      <c r="H314">
        <v>1</v>
      </c>
      <c r="I314">
        <v>0</v>
      </c>
      <c r="J314">
        <v>0</v>
      </c>
      <c r="K314">
        <v>0</v>
      </c>
      <c r="L314">
        <v>0</v>
      </c>
    </row>
    <row r="315" spans="1:12" x14ac:dyDescent="0.35">
      <c r="A315" t="s">
        <v>324</v>
      </c>
      <c r="B315" s="7">
        <v>43709.551562499997</v>
      </c>
      <c r="C315" t="s">
        <v>24</v>
      </c>
      <c r="D315" t="s">
        <v>238</v>
      </c>
      <c r="E315">
        <v>1</v>
      </c>
      <c r="F315" t="s">
        <v>236</v>
      </c>
      <c r="G315" t="s">
        <v>237</v>
      </c>
      <c r="H315">
        <v>1</v>
      </c>
      <c r="I315">
        <v>0</v>
      </c>
      <c r="J315">
        <v>0</v>
      </c>
      <c r="K315">
        <v>0</v>
      </c>
      <c r="L315">
        <v>0</v>
      </c>
    </row>
    <row r="316" spans="1:12" x14ac:dyDescent="0.35">
      <c r="A316" t="s">
        <v>324</v>
      </c>
      <c r="B316" s="7">
        <v>43709.551562499997</v>
      </c>
      <c r="C316" t="s">
        <v>24</v>
      </c>
      <c r="D316" t="s">
        <v>235</v>
      </c>
      <c r="E316">
        <v>1</v>
      </c>
      <c r="F316" t="s">
        <v>236</v>
      </c>
      <c r="G316" t="s">
        <v>237</v>
      </c>
      <c r="H316">
        <v>1</v>
      </c>
      <c r="I316">
        <v>0</v>
      </c>
      <c r="J316">
        <v>0</v>
      </c>
      <c r="K316">
        <v>0</v>
      </c>
      <c r="L316">
        <v>0</v>
      </c>
    </row>
    <row r="317" spans="1:12" x14ac:dyDescent="0.35">
      <c r="A317" t="s">
        <v>325</v>
      </c>
      <c r="B317" s="7">
        <v>43709.551562499997</v>
      </c>
      <c r="C317" t="s">
        <v>85</v>
      </c>
      <c r="D317" t="s">
        <v>235</v>
      </c>
      <c r="E317">
        <v>1</v>
      </c>
      <c r="F317" t="s">
        <v>239</v>
      </c>
      <c r="G317" t="s">
        <v>237</v>
      </c>
      <c r="H317">
        <v>0</v>
      </c>
      <c r="I317">
        <v>0</v>
      </c>
      <c r="J317">
        <v>0</v>
      </c>
      <c r="K317">
        <v>1</v>
      </c>
      <c r="L317">
        <v>0</v>
      </c>
    </row>
    <row r="318" spans="1:12" x14ac:dyDescent="0.35">
      <c r="A318" t="s">
        <v>324</v>
      </c>
      <c r="B318" s="7">
        <v>43709.551562499997</v>
      </c>
      <c r="C318" t="s">
        <v>24</v>
      </c>
      <c r="D318" t="s">
        <v>233</v>
      </c>
      <c r="E318">
        <v>1</v>
      </c>
      <c r="F318" t="s">
        <v>240</v>
      </c>
      <c r="G318" t="s">
        <v>237</v>
      </c>
      <c r="H318">
        <v>1</v>
      </c>
      <c r="I318">
        <v>0</v>
      </c>
      <c r="J318">
        <v>0</v>
      </c>
      <c r="K318">
        <v>0</v>
      </c>
      <c r="L318">
        <v>0</v>
      </c>
    </row>
    <row r="319" spans="1:12" x14ac:dyDescent="0.35">
      <c r="A319" t="s">
        <v>324</v>
      </c>
      <c r="B319" s="7">
        <v>43709.551562499997</v>
      </c>
      <c r="C319" t="s">
        <v>24</v>
      </c>
      <c r="D319" t="s">
        <v>235</v>
      </c>
      <c r="E319">
        <v>1</v>
      </c>
      <c r="F319" t="s">
        <v>240</v>
      </c>
      <c r="G319" t="s">
        <v>237</v>
      </c>
      <c r="H319">
        <v>1</v>
      </c>
      <c r="I319">
        <v>0</v>
      </c>
      <c r="J319">
        <v>0</v>
      </c>
      <c r="K319">
        <v>0</v>
      </c>
      <c r="L319">
        <v>0</v>
      </c>
    </row>
    <row r="320" spans="1:12" x14ac:dyDescent="0.35">
      <c r="A320" t="s">
        <v>324</v>
      </c>
      <c r="B320" s="7">
        <v>43709.551562499997</v>
      </c>
      <c r="C320" t="s">
        <v>24</v>
      </c>
      <c r="D320" t="s">
        <v>31</v>
      </c>
      <c r="E320">
        <v>1</v>
      </c>
      <c r="F320" t="s">
        <v>242</v>
      </c>
      <c r="G320" t="s">
        <v>231</v>
      </c>
      <c r="H320">
        <v>1</v>
      </c>
      <c r="I320">
        <v>0</v>
      </c>
      <c r="J320">
        <v>0</v>
      </c>
      <c r="K320">
        <v>0</v>
      </c>
      <c r="L320">
        <v>0</v>
      </c>
    </row>
    <row r="321" spans="1:12" x14ac:dyDescent="0.35">
      <c r="A321" t="s">
        <v>326</v>
      </c>
      <c r="B321" s="7">
        <v>43709.551562499997</v>
      </c>
      <c r="C321" t="s">
        <v>228</v>
      </c>
      <c r="D321" t="s">
        <v>233</v>
      </c>
      <c r="E321">
        <v>1</v>
      </c>
      <c r="F321" t="s">
        <v>242</v>
      </c>
      <c r="G321" t="s">
        <v>231</v>
      </c>
      <c r="H321">
        <v>0</v>
      </c>
      <c r="I321">
        <v>1</v>
      </c>
      <c r="J321">
        <v>0</v>
      </c>
      <c r="K321">
        <v>0</v>
      </c>
      <c r="L321">
        <v>0</v>
      </c>
    </row>
    <row r="322" spans="1:12" x14ac:dyDescent="0.35">
      <c r="A322" t="s">
        <v>324</v>
      </c>
      <c r="B322" s="7">
        <v>43709.551562499997</v>
      </c>
      <c r="C322" t="s">
        <v>24</v>
      </c>
      <c r="D322" t="s">
        <v>31</v>
      </c>
      <c r="E322">
        <v>1</v>
      </c>
      <c r="F322" t="s">
        <v>242</v>
      </c>
      <c r="G322" t="s">
        <v>231</v>
      </c>
      <c r="H322">
        <v>1</v>
      </c>
      <c r="I322">
        <v>0</v>
      </c>
      <c r="J322">
        <v>0</v>
      </c>
      <c r="K322">
        <v>0</v>
      </c>
      <c r="L322">
        <v>0</v>
      </c>
    </row>
    <row r="323" spans="1:12" x14ac:dyDescent="0.35">
      <c r="A323" t="s">
        <v>324</v>
      </c>
      <c r="B323" s="7">
        <v>43709.551562499997</v>
      </c>
      <c r="C323" t="s">
        <v>24</v>
      </c>
      <c r="D323" t="s">
        <v>34</v>
      </c>
      <c r="E323">
        <v>1</v>
      </c>
      <c r="F323" t="s">
        <v>242</v>
      </c>
      <c r="G323" t="s">
        <v>231</v>
      </c>
      <c r="H323">
        <v>1</v>
      </c>
      <c r="I323">
        <v>0</v>
      </c>
      <c r="J323">
        <v>0</v>
      </c>
      <c r="K323">
        <v>0</v>
      </c>
      <c r="L323">
        <v>0</v>
      </c>
    </row>
    <row r="324" spans="1:12" x14ac:dyDescent="0.35">
      <c r="A324" t="s">
        <v>327</v>
      </c>
      <c r="B324" s="7">
        <v>43710.551562499997</v>
      </c>
      <c r="C324" t="s">
        <v>228</v>
      </c>
      <c r="D324" t="s">
        <v>34</v>
      </c>
      <c r="E324">
        <v>1</v>
      </c>
      <c r="F324" t="s">
        <v>236</v>
      </c>
      <c r="G324" t="s">
        <v>237</v>
      </c>
      <c r="H324">
        <v>0</v>
      </c>
      <c r="I324">
        <v>1</v>
      </c>
      <c r="J324">
        <v>0</v>
      </c>
      <c r="K324">
        <v>0</v>
      </c>
      <c r="L324">
        <v>0</v>
      </c>
    </row>
    <row r="325" spans="1:12" x14ac:dyDescent="0.35">
      <c r="A325" t="s">
        <v>328</v>
      </c>
      <c r="B325" s="7">
        <v>43710.551562499997</v>
      </c>
      <c r="C325" t="s">
        <v>108</v>
      </c>
      <c r="D325" t="s">
        <v>238</v>
      </c>
      <c r="E325">
        <v>1</v>
      </c>
      <c r="F325" t="s">
        <v>239</v>
      </c>
      <c r="G325" t="s">
        <v>237</v>
      </c>
      <c r="H325">
        <v>0</v>
      </c>
      <c r="I325">
        <v>0</v>
      </c>
      <c r="J325">
        <v>1</v>
      </c>
      <c r="K325">
        <v>0</v>
      </c>
      <c r="L325">
        <v>0</v>
      </c>
    </row>
    <row r="326" spans="1:12" x14ac:dyDescent="0.35">
      <c r="A326" t="s">
        <v>329</v>
      </c>
      <c r="B326" s="7">
        <v>43710.551562499997</v>
      </c>
      <c r="C326" t="s">
        <v>24</v>
      </c>
      <c r="D326" t="s">
        <v>34</v>
      </c>
      <c r="E326">
        <v>1</v>
      </c>
      <c r="F326" t="s">
        <v>240</v>
      </c>
      <c r="G326" t="s">
        <v>237</v>
      </c>
      <c r="H326">
        <v>1</v>
      </c>
      <c r="I326">
        <v>0</v>
      </c>
      <c r="J326">
        <v>0</v>
      </c>
      <c r="K326">
        <v>0</v>
      </c>
      <c r="L326">
        <v>0</v>
      </c>
    </row>
    <row r="327" spans="1:12" x14ac:dyDescent="0.35">
      <c r="A327" t="s">
        <v>329</v>
      </c>
      <c r="B327" s="7">
        <v>43710.551562499997</v>
      </c>
      <c r="C327" t="s">
        <v>24</v>
      </c>
      <c r="D327" t="s">
        <v>235</v>
      </c>
      <c r="E327">
        <v>1</v>
      </c>
      <c r="F327" t="s">
        <v>240</v>
      </c>
      <c r="G327" t="s">
        <v>237</v>
      </c>
      <c r="H327">
        <v>1</v>
      </c>
      <c r="I327">
        <v>0</v>
      </c>
      <c r="J327">
        <v>0</v>
      </c>
      <c r="K327">
        <v>0</v>
      </c>
      <c r="L327">
        <v>0</v>
      </c>
    </row>
    <row r="328" spans="1:12" x14ac:dyDescent="0.35">
      <c r="A328" t="s">
        <v>329</v>
      </c>
      <c r="B328" s="7">
        <v>43710.551562499997</v>
      </c>
      <c r="C328" t="s">
        <v>24</v>
      </c>
      <c r="D328" t="s">
        <v>31</v>
      </c>
      <c r="E328">
        <v>1</v>
      </c>
      <c r="F328" t="s">
        <v>240</v>
      </c>
      <c r="G328" t="s">
        <v>237</v>
      </c>
      <c r="H328">
        <v>1</v>
      </c>
      <c r="I328">
        <v>0</v>
      </c>
      <c r="J328">
        <v>0</v>
      </c>
      <c r="K328">
        <v>0</v>
      </c>
      <c r="L328">
        <v>0</v>
      </c>
    </row>
    <row r="329" spans="1:12" x14ac:dyDescent="0.35">
      <c r="A329" t="s">
        <v>328</v>
      </c>
      <c r="B329" s="7">
        <v>43710.551562499997</v>
      </c>
      <c r="C329" t="s">
        <v>108</v>
      </c>
      <c r="D329" t="s">
        <v>31</v>
      </c>
      <c r="E329">
        <v>1</v>
      </c>
      <c r="F329" t="s">
        <v>240</v>
      </c>
      <c r="G329" t="s">
        <v>237</v>
      </c>
      <c r="H329">
        <v>0</v>
      </c>
      <c r="I329">
        <v>0</v>
      </c>
      <c r="J329">
        <v>1</v>
      </c>
      <c r="K329">
        <v>0</v>
      </c>
      <c r="L329">
        <v>0</v>
      </c>
    </row>
    <row r="330" spans="1:12" x14ac:dyDescent="0.35">
      <c r="A330" t="s">
        <v>329</v>
      </c>
      <c r="B330" s="7">
        <v>43710.551562499997</v>
      </c>
      <c r="C330" t="s">
        <v>24</v>
      </c>
      <c r="D330" t="s">
        <v>235</v>
      </c>
      <c r="E330">
        <v>1</v>
      </c>
      <c r="F330" t="s">
        <v>240</v>
      </c>
      <c r="G330" t="s">
        <v>237</v>
      </c>
      <c r="H330">
        <v>1</v>
      </c>
      <c r="I330">
        <v>0</v>
      </c>
      <c r="J330">
        <v>0</v>
      </c>
      <c r="K330">
        <v>0</v>
      </c>
      <c r="L330">
        <v>0</v>
      </c>
    </row>
    <row r="331" spans="1:12" x14ac:dyDescent="0.35">
      <c r="A331" t="s">
        <v>330</v>
      </c>
      <c r="B331" s="7">
        <v>43711.551562499997</v>
      </c>
      <c r="C331" t="s">
        <v>24</v>
      </c>
      <c r="D331" t="s">
        <v>238</v>
      </c>
      <c r="E331">
        <v>1</v>
      </c>
      <c r="F331" t="s">
        <v>230</v>
      </c>
      <c r="G331" t="s">
        <v>231</v>
      </c>
      <c r="H331">
        <v>1</v>
      </c>
      <c r="I331">
        <v>0</v>
      </c>
      <c r="J331">
        <v>0</v>
      </c>
      <c r="K331">
        <v>0</v>
      </c>
      <c r="L331">
        <v>0</v>
      </c>
    </row>
    <row r="332" spans="1:12" x14ac:dyDescent="0.35">
      <c r="A332" t="s">
        <v>330</v>
      </c>
      <c r="B332" s="7">
        <v>43711.551562499997</v>
      </c>
      <c r="C332" t="s">
        <v>24</v>
      </c>
      <c r="D332" t="s">
        <v>233</v>
      </c>
      <c r="E332">
        <v>1</v>
      </c>
      <c r="F332" t="s">
        <v>230</v>
      </c>
      <c r="G332" t="s">
        <v>231</v>
      </c>
      <c r="H332">
        <v>1</v>
      </c>
      <c r="I332">
        <v>0</v>
      </c>
      <c r="J332">
        <v>0</v>
      </c>
      <c r="K332">
        <v>0</v>
      </c>
      <c r="L332">
        <v>0</v>
      </c>
    </row>
    <row r="333" spans="1:12" x14ac:dyDescent="0.35">
      <c r="A333" t="s">
        <v>331</v>
      </c>
      <c r="B333" s="7">
        <v>43711.551562499997</v>
      </c>
      <c r="C333" t="s">
        <v>85</v>
      </c>
      <c r="D333" t="s">
        <v>34</v>
      </c>
      <c r="E333">
        <v>1</v>
      </c>
      <c r="F333" t="s">
        <v>249</v>
      </c>
      <c r="G333" t="s">
        <v>231</v>
      </c>
      <c r="H333">
        <v>0</v>
      </c>
      <c r="I333">
        <v>0</v>
      </c>
      <c r="J333">
        <v>0</v>
      </c>
      <c r="K333">
        <v>1</v>
      </c>
      <c r="L333">
        <v>0</v>
      </c>
    </row>
    <row r="334" spans="1:12" x14ac:dyDescent="0.35">
      <c r="A334" t="s">
        <v>330</v>
      </c>
      <c r="B334" s="7">
        <v>43711.551562499997</v>
      </c>
      <c r="C334" t="s">
        <v>24</v>
      </c>
      <c r="D334" t="s">
        <v>238</v>
      </c>
      <c r="E334">
        <v>1</v>
      </c>
      <c r="F334" t="s">
        <v>249</v>
      </c>
      <c r="G334" t="s">
        <v>231</v>
      </c>
      <c r="H334">
        <v>1</v>
      </c>
      <c r="I334">
        <v>0</v>
      </c>
      <c r="J334">
        <v>0</v>
      </c>
      <c r="K334">
        <v>0</v>
      </c>
      <c r="L334">
        <v>0</v>
      </c>
    </row>
    <row r="335" spans="1:12" x14ac:dyDescent="0.35">
      <c r="A335" t="s">
        <v>330</v>
      </c>
      <c r="B335" s="7">
        <v>43711.551562499997</v>
      </c>
      <c r="C335" t="s">
        <v>24</v>
      </c>
      <c r="D335" t="s">
        <v>235</v>
      </c>
      <c r="E335">
        <v>1</v>
      </c>
      <c r="F335" t="s">
        <v>249</v>
      </c>
      <c r="G335" t="s">
        <v>231</v>
      </c>
      <c r="H335">
        <v>1</v>
      </c>
      <c r="I335">
        <v>0</v>
      </c>
      <c r="J335">
        <v>0</v>
      </c>
      <c r="K335">
        <v>0</v>
      </c>
      <c r="L335">
        <v>0</v>
      </c>
    </row>
    <row r="336" spans="1:12" x14ac:dyDescent="0.35">
      <c r="A336" t="s">
        <v>331</v>
      </c>
      <c r="B336" s="7">
        <v>43711.551562499997</v>
      </c>
      <c r="C336" t="s">
        <v>85</v>
      </c>
      <c r="D336" t="s">
        <v>233</v>
      </c>
      <c r="E336">
        <v>1</v>
      </c>
      <c r="F336" t="s">
        <v>236</v>
      </c>
      <c r="G336" t="s">
        <v>237</v>
      </c>
      <c r="H336">
        <v>0</v>
      </c>
      <c r="I336">
        <v>0</v>
      </c>
      <c r="J336">
        <v>0</v>
      </c>
      <c r="K336">
        <v>1</v>
      </c>
      <c r="L336">
        <v>0</v>
      </c>
    </row>
    <row r="337" spans="1:12" x14ac:dyDescent="0.35">
      <c r="A337" t="s">
        <v>330</v>
      </c>
      <c r="B337" s="7">
        <v>43711.551562499997</v>
      </c>
      <c r="C337" t="s">
        <v>24</v>
      </c>
      <c r="D337" t="s">
        <v>229</v>
      </c>
      <c r="E337">
        <v>1</v>
      </c>
      <c r="F337" t="s">
        <v>236</v>
      </c>
      <c r="G337" t="s">
        <v>237</v>
      </c>
      <c r="H337">
        <v>1</v>
      </c>
      <c r="I337">
        <v>0</v>
      </c>
      <c r="J337">
        <v>0</v>
      </c>
      <c r="K337">
        <v>0</v>
      </c>
      <c r="L337">
        <v>0</v>
      </c>
    </row>
    <row r="338" spans="1:12" x14ac:dyDescent="0.35">
      <c r="A338" t="s">
        <v>330</v>
      </c>
      <c r="B338" s="7">
        <v>43711.551562499997</v>
      </c>
      <c r="C338" t="s">
        <v>24</v>
      </c>
      <c r="D338" t="s">
        <v>238</v>
      </c>
      <c r="E338">
        <v>1</v>
      </c>
      <c r="F338" t="s">
        <v>236</v>
      </c>
      <c r="G338" t="s">
        <v>237</v>
      </c>
      <c r="H338">
        <v>1</v>
      </c>
      <c r="I338">
        <v>0</v>
      </c>
      <c r="J338">
        <v>0</v>
      </c>
      <c r="K338">
        <v>0</v>
      </c>
      <c r="L338">
        <v>0</v>
      </c>
    </row>
    <row r="339" spans="1:12" x14ac:dyDescent="0.35">
      <c r="A339" t="s">
        <v>330</v>
      </c>
      <c r="B339" s="7">
        <v>43711.551562499997</v>
      </c>
      <c r="C339" t="s">
        <v>24</v>
      </c>
      <c r="D339" t="s">
        <v>233</v>
      </c>
      <c r="E339">
        <v>1</v>
      </c>
      <c r="F339" t="s">
        <v>239</v>
      </c>
      <c r="G339" t="s">
        <v>237</v>
      </c>
      <c r="H339">
        <v>1</v>
      </c>
      <c r="I339">
        <v>0</v>
      </c>
      <c r="J339">
        <v>0</v>
      </c>
      <c r="K339">
        <v>0</v>
      </c>
      <c r="L339">
        <v>0</v>
      </c>
    </row>
    <row r="340" spans="1:12" x14ac:dyDescent="0.35">
      <c r="A340" t="s">
        <v>330</v>
      </c>
      <c r="B340" s="7">
        <v>43711.551562499997</v>
      </c>
      <c r="C340" t="s">
        <v>24</v>
      </c>
      <c r="D340" t="s">
        <v>31</v>
      </c>
      <c r="E340">
        <v>1</v>
      </c>
      <c r="F340" t="s">
        <v>242</v>
      </c>
      <c r="G340" t="s">
        <v>231</v>
      </c>
      <c r="H340">
        <v>1</v>
      </c>
      <c r="I340">
        <v>0</v>
      </c>
      <c r="J340">
        <v>0</v>
      </c>
      <c r="K340">
        <v>0</v>
      </c>
      <c r="L340">
        <v>0</v>
      </c>
    </row>
    <row r="341" spans="1:12" x14ac:dyDescent="0.35">
      <c r="A341" t="s">
        <v>332</v>
      </c>
      <c r="B341" s="7">
        <v>43711.551562499997</v>
      </c>
      <c r="C341" t="s">
        <v>228</v>
      </c>
      <c r="D341" t="s">
        <v>233</v>
      </c>
      <c r="E341">
        <v>1</v>
      </c>
      <c r="F341" t="s">
        <v>242</v>
      </c>
      <c r="G341" t="s">
        <v>231</v>
      </c>
      <c r="H341">
        <v>0</v>
      </c>
      <c r="I341">
        <v>1</v>
      </c>
      <c r="J341">
        <v>0</v>
      </c>
      <c r="K341">
        <v>0</v>
      </c>
      <c r="L341">
        <v>0</v>
      </c>
    </row>
    <row r="342" spans="1:12" x14ac:dyDescent="0.35">
      <c r="A342" t="s">
        <v>333</v>
      </c>
      <c r="B342" s="7">
        <v>43712.551562499997</v>
      </c>
      <c r="C342" t="s">
        <v>228</v>
      </c>
      <c r="D342" t="s">
        <v>34</v>
      </c>
      <c r="E342">
        <v>1</v>
      </c>
      <c r="F342" t="s">
        <v>249</v>
      </c>
      <c r="G342" t="s">
        <v>231</v>
      </c>
      <c r="H342">
        <v>0</v>
      </c>
      <c r="I342">
        <v>1</v>
      </c>
      <c r="J342">
        <v>0</v>
      </c>
      <c r="K342">
        <v>0</v>
      </c>
      <c r="L342">
        <v>0</v>
      </c>
    </row>
    <row r="343" spans="1:12" x14ac:dyDescent="0.35">
      <c r="A343" t="s">
        <v>334</v>
      </c>
      <c r="B343" s="7">
        <v>43712.551562499997</v>
      </c>
      <c r="C343" t="s">
        <v>24</v>
      </c>
      <c r="D343" t="s">
        <v>34</v>
      </c>
      <c r="E343">
        <v>1</v>
      </c>
      <c r="F343" t="s">
        <v>249</v>
      </c>
      <c r="G343" t="s">
        <v>231</v>
      </c>
      <c r="H343">
        <v>1</v>
      </c>
      <c r="I343">
        <v>0</v>
      </c>
      <c r="J343">
        <v>0</v>
      </c>
      <c r="K343">
        <v>0</v>
      </c>
      <c r="L343">
        <v>0</v>
      </c>
    </row>
    <row r="344" spans="1:12" x14ac:dyDescent="0.35">
      <c r="A344" t="s">
        <v>334</v>
      </c>
      <c r="B344" s="7">
        <v>43712.551562499997</v>
      </c>
      <c r="C344" t="s">
        <v>24</v>
      </c>
      <c r="D344" t="s">
        <v>233</v>
      </c>
      <c r="E344">
        <v>1</v>
      </c>
      <c r="F344" t="s">
        <v>249</v>
      </c>
      <c r="G344" t="s">
        <v>231</v>
      </c>
      <c r="H344">
        <v>1</v>
      </c>
      <c r="I344">
        <v>0</v>
      </c>
      <c r="J344">
        <v>0</v>
      </c>
      <c r="K344">
        <v>0</v>
      </c>
      <c r="L344">
        <v>0</v>
      </c>
    </row>
    <row r="345" spans="1:12" x14ac:dyDescent="0.35">
      <c r="A345" t="s">
        <v>334</v>
      </c>
      <c r="B345" s="7">
        <v>43712.551562499997</v>
      </c>
      <c r="C345" t="s">
        <v>24</v>
      </c>
      <c r="D345" t="s">
        <v>235</v>
      </c>
      <c r="E345">
        <v>1</v>
      </c>
      <c r="F345" t="s">
        <v>240</v>
      </c>
      <c r="G345" t="s">
        <v>237</v>
      </c>
      <c r="H345">
        <v>1</v>
      </c>
      <c r="I345">
        <v>0</v>
      </c>
      <c r="J345">
        <v>0</v>
      </c>
      <c r="K345">
        <v>0</v>
      </c>
      <c r="L345">
        <v>0</v>
      </c>
    </row>
    <row r="346" spans="1:12" x14ac:dyDescent="0.35">
      <c r="A346" t="s">
        <v>333</v>
      </c>
      <c r="B346" s="7">
        <v>43712.551562499997</v>
      </c>
      <c r="C346" t="s">
        <v>228</v>
      </c>
      <c r="D346" t="s">
        <v>238</v>
      </c>
      <c r="E346">
        <v>1</v>
      </c>
      <c r="F346" t="s">
        <v>240</v>
      </c>
      <c r="G346" t="s">
        <v>237</v>
      </c>
      <c r="H346">
        <v>0</v>
      </c>
      <c r="I346">
        <v>1</v>
      </c>
      <c r="J346">
        <v>0</v>
      </c>
      <c r="K346">
        <v>0</v>
      </c>
      <c r="L346">
        <v>0</v>
      </c>
    </row>
    <row r="347" spans="1:12" x14ac:dyDescent="0.35">
      <c r="A347" t="s">
        <v>334</v>
      </c>
      <c r="B347" s="7">
        <v>43712.551562499997</v>
      </c>
      <c r="C347" t="s">
        <v>24</v>
      </c>
      <c r="D347" t="s">
        <v>235</v>
      </c>
      <c r="E347">
        <v>1</v>
      </c>
      <c r="F347" t="s">
        <v>242</v>
      </c>
      <c r="G347" t="s">
        <v>231</v>
      </c>
      <c r="H347">
        <v>1</v>
      </c>
      <c r="I347">
        <v>0</v>
      </c>
      <c r="J347">
        <v>0</v>
      </c>
      <c r="K347">
        <v>0</v>
      </c>
      <c r="L347">
        <v>0</v>
      </c>
    </row>
    <row r="348" spans="1:12" x14ac:dyDescent="0.35">
      <c r="A348" t="s">
        <v>334</v>
      </c>
      <c r="B348" s="7">
        <v>43712.551562499997</v>
      </c>
      <c r="C348" t="s">
        <v>24</v>
      </c>
      <c r="D348" t="s">
        <v>235</v>
      </c>
      <c r="E348">
        <v>1</v>
      </c>
      <c r="F348" t="s">
        <v>242</v>
      </c>
      <c r="G348" t="s">
        <v>231</v>
      </c>
      <c r="H348">
        <v>1</v>
      </c>
      <c r="I348">
        <v>0</v>
      </c>
      <c r="J348">
        <v>0</v>
      </c>
      <c r="K348">
        <v>0</v>
      </c>
      <c r="L348">
        <v>0</v>
      </c>
    </row>
    <row r="349" spans="1:12" x14ac:dyDescent="0.35">
      <c r="A349" t="s">
        <v>334</v>
      </c>
      <c r="B349" s="7">
        <v>43712.551562499997</v>
      </c>
      <c r="C349" t="s">
        <v>24</v>
      </c>
      <c r="D349" t="s">
        <v>235</v>
      </c>
      <c r="E349">
        <v>1</v>
      </c>
      <c r="F349" t="s">
        <v>242</v>
      </c>
      <c r="G349" t="s">
        <v>231</v>
      </c>
      <c r="H349">
        <v>1</v>
      </c>
      <c r="I349">
        <v>0</v>
      </c>
      <c r="J349">
        <v>0</v>
      </c>
      <c r="K349">
        <v>0</v>
      </c>
      <c r="L349">
        <v>0</v>
      </c>
    </row>
    <row r="350" spans="1:12" x14ac:dyDescent="0.35">
      <c r="A350" t="s">
        <v>335</v>
      </c>
      <c r="B350" s="7">
        <v>43713.551562499997</v>
      </c>
      <c r="C350" t="s">
        <v>24</v>
      </c>
      <c r="D350" t="s">
        <v>31</v>
      </c>
      <c r="E350">
        <v>1</v>
      </c>
      <c r="F350" t="s">
        <v>230</v>
      </c>
      <c r="G350" t="s">
        <v>231</v>
      </c>
      <c r="H350">
        <v>1</v>
      </c>
      <c r="I350">
        <v>0</v>
      </c>
      <c r="J350">
        <v>0</v>
      </c>
      <c r="K350">
        <v>0</v>
      </c>
      <c r="L350">
        <v>0</v>
      </c>
    </row>
    <row r="351" spans="1:12" x14ac:dyDescent="0.35">
      <c r="A351" t="s">
        <v>336</v>
      </c>
      <c r="B351" s="7">
        <v>43713.551562499997</v>
      </c>
      <c r="C351" t="s">
        <v>85</v>
      </c>
      <c r="D351" t="s">
        <v>233</v>
      </c>
      <c r="E351">
        <v>1</v>
      </c>
      <c r="F351" t="s">
        <v>230</v>
      </c>
      <c r="G351" t="s">
        <v>231</v>
      </c>
      <c r="H351">
        <v>0</v>
      </c>
      <c r="I351">
        <v>0</v>
      </c>
      <c r="J351">
        <v>0</v>
      </c>
      <c r="K351">
        <v>1</v>
      </c>
      <c r="L351">
        <v>0</v>
      </c>
    </row>
    <row r="352" spans="1:12" x14ac:dyDescent="0.35">
      <c r="A352" t="s">
        <v>335</v>
      </c>
      <c r="B352" s="7">
        <v>43713.551562499997</v>
      </c>
      <c r="C352" t="s">
        <v>24</v>
      </c>
      <c r="D352" t="s">
        <v>31</v>
      </c>
      <c r="E352">
        <v>1</v>
      </c>
      <c r="F352" t="s">
        <v>236</v>
      </c>
      <c r="G352" t="s">
        <v>237</v>
      </c>
      <c r="H352">
        <v>1</v>
      </c>
      <c r="I352">
        <v>0</v>
      </c>
      <c r="J352">
        <v>0</v>
      </c>
      <c r="K352">
        <v>0</v>
      </c>
      <c r="L352">
        <v>0</v>
      </c>
    </row>
    <row r="353" spans="1:12" x14ac:dyDescent="0.35">
      <c r="A353" t="s">
        <v>335</v>
      </c>
      <c r="B353" s="7">
        <v>43713.551562499997</v>
      </c>
      <c r="C353" t="s">
        <v>24</v>
      </c>
      <c r="D353" t="s">
        <v>229</v>
      </c>
      <c r="E353">
        <v>1</v>
      </c>
      <c r="F353" t="s">
        <v>239</v>
      </c>
      <c r="G353" t="s">
        <v>237</v>
      </c>
      <c r="H353">
        <v>1</v>
      </c>
      <c r="I353">
        <v>0</v>
      </c>
      <c r="J353">
        <v>0</v>
      </c>
      <c r="K353">
        <v>0</v>
      </c>
      <c r="L353">
        <v>0</v>
      </c>
    </row>
    <row r="354" spans="1:12" x14ac:dyDescent="0.35">
      <c r="A354" t="s">
        <v>335</v>
      </c>
      <c r="B354" s="7">
        <v>43713.551562499997</v>
      </c>
      <c r="C354" t="s">
        <v>24</v>
      </c>
      <c r="D354" t="s">
        <v>31</v>
      </c>
      <c r="E354">
        <v>1</v>
      </c>
      <c r="F354" t="s">
        <v>239</v>
      </c>
      <c r="G354" t="s">
        <v>237</v>
      </c>
      <c r="H354">
        <v>1</v>
      </c>
      <c r="I354">
        <v>0</v>
      </c>
      <c r="J354">
        <v>0</v>
      </c>
      <c r="K354">
        <v>0</v>
      </c>
      <c r="L354">
        <v>0</v>
      </c>
    </row>
    <row r="355" spans="1:12" x14ac:dyDescent="0.35">
      <c r="A355" t="s">
        <v>335</v>
      </c>
      <c r="B355" s="7">
        <v>43713.551562499997</v>
      </c>
      <c r="C355" t="s">
        <v>24</v>
      </c>
      <c r="D355" t="s">
        <v>34</v>
      </c>
      <c r="E355">
        <v>1</v>
      </c>
      <c r="F355" t="s">
        <v>240</v>
      </c>
      <c r="G355" t="s">
        <v>237</v>
      </c>
      <c r="H355">
        <v>1</v>
      </c>
      <c r="I355">
        <v>0</v>
      </c>
      <c r="J355">
        <v>0</v>
      </c>
      <c r="K355">
        <v>0</v>
      </c>
      <c r="L355">
        <v>0</v>
      </c>
    </row>
    <row r="356" spans="1:12" x14ac:dyDescent="0.35">
      <c r="A356" t="s">
        <v>335</v>
      </c>
      <c r="B356" s="7">
        <v>43713.551562499997</v>
      </c>
      <c r="C356" t="s">
        <v>24</v>
      </c>
      <c r="D356" t="s">
        <v>235</v>
      </c>
      <c r="E356">
        <v>1</v>
      </c>
      <c r="F356" t="s">
        <v>240</v>
      </c>
      <c r="G356" t="s">
        <v>237</v>
      </c>
      <c r="H356">
        <v>1</v>
      </c>
      <c r="I356">
        <v>0</v>
      </c>
      <c r="J356">
        <v>0</v>
      </c>
      <c r="K356">
        <v>0</v>
      </c>
      <c r="L356">
        <v>0</v>
      </c>
    </row>
    <row r="357" spans="1:12" x14ac:dyDescent="0.35">
      <c r="A357" t="s">
        <v>335</v>
      </c>
      <c r="B357" s="7">
        <v>43713.551562499997</v>
      </c>
      <c r="C357" t="s">
        <v>24</v>
      </c>
      <c r="D357" t="s">
        <v>31</v>
      </c>
      <c r="E357">
        <v>1</v>
      </c>
      <c r="F357" t="s">
        <v>240</v>
      </c>
      <c r="G357" t="s">
        <v>237</v>
      </c>
      <c r="H357">
        <v>1</v>
      </c>
      <c r="I357">
        <v>0</v>
      </c>
      <c r="J357">
        <v>0</v>
      </c>
      <c r="K357">
        <v>0</v>
      </c>
      <c r="L357">
        <v>0</v>
      </c>
    </row>
    <row r="358" spans="1:12" x14ac:dyDescent="0.35">
      <c r="A358" t="s">
        <v>335</v>
      </c>
      <c r="B358" s="7">
        <v>43713.551562499997</v>
      </c>
      <c r="C358" t="s">
        <v>24</v>
      </c>
      <c r="D358" t="s">
        <v>229</v>
      </c>
      <c r="E358">
        <v>1</v>
      </c>
      <c r="F358" t="s">
        <v>240</v>
      </c>
      <c r="G358" t="s">
        <v>237</v>
      </c>
      <c r="H358">
        <v>1</v>
      </c>
      <c r="I358">
        <v>0</v>
      </c>
      <c r="J358">
        <v>0</v>
      </c>
      <c r="K358">
        <v>0</v>
      </c>
      <c r="L358">
        <v>0</v>
      </c>
    </row>
    <row r="359" spans="1:12" x14ac:dyDescent="0.35">
      <c r="A359" t="s">
        <v>335</v>
      </c>
      <c r="B359" s="7">
        <v>43713.551562499997</v>
      </c>
      <c r="C359" t="s">
        <v>24</v>
      </c>
      <c r="D359" t="s">
        <v>235</v>
      </c>
      <c r="E359">
        <v>1</v>
      </c>
      <c r="F359" t="s">
        <v>242</v>
      </c>
      <c r="G359" t="s">
        <v>231</v>
      </c>
      <c r="H359">
        <v>1</v>
      </c>
      <c r="I359">
        <v>0</v>
      </c>
      <c r="J359">
        <v>0</v>
      </c>
      <c r="K359">
        <v>0</v>
      </c>
      <c r="L359">
        <v>0</v>
      </c>
    </row>
    <row r="360" spans="1:12" x14ac:dyDescent="0.35">
      <c r="A360" t="s">
        <v>335</v>
      </c>
      <c r="B360" s="7">
        <v>43713.551562499997</v>
      </c>
      <c r="C360" t="s">
        <v>24</v>
      </c>
      <c r="D360" t="s">
        <v>31</v>
      </c>
      <c r="E360">
        <v>1</v>
      </c>
      <c r="F360" t="s">
        <v>242</v>
      </c>
      <c r="G360" t="s">
        <v>231</v>
      </c>
      <c r="H360">
        <v>1</v>
      </c>
      <c r="I360">
        <v>0</v>
      </c>
      <c r="J360">
        <v>0</v>
      </c>
      <c r="K360">
        <v>0</v>
      </c>
      <c r="L360">
        <v>0</v>
      </c>
    </row>
    <row r="361" spans="1:12" x14ac:dyDescent="0.35">
      <c r="A361" t="s">
        <v>337</v>
      </c>
      <c r="B361" s="7">
        <v>43714.551562499997</v>
      </c>
      <c r="C361" t="s">
        <v>24</v>
      </c>
      <c r="D361" t="s">
        <v>229</v>
      </c>
      <c r="E361">
        <v>1</v>
      </c>
      <c r="F361" t="s">
        <v>230</v>
      </c>
      <c r="G361" t="s">
        <v>231</v>
      </c>
      <c r="H361">
        <v>1</v>
      </c>
      <c r="I361">
        <v>0</v>
      </c>
      <c r="J361">
        <v>0</v>
      </c>
      <c r="K361">
        <v>0</v>
      </c>
      <c r="L361">
        <v>0</v>
      </c>
    </row>
    <row r="362" spans="1:12" x14ac:dyDescent="0.35">
      <c r="A362" t="s">
        <v>338</v>
      </c>
      <c r="B362" s="7">
        <v>43714.551562499997</v>
      </c>
      <c r="C362" t="s">
        <v>228</v>
      </c>
      <c r="D362" t="s">
        <v>233</v>
      </c>
      <c r="E362">
        <v>1</v>
      </c>
      <c r="F362" t="s">
        <v>249</v>
      </c>
      <c r="G362" t="s">
        <v>231</v>
      </c>
      <c r="H362">
        <v>0</v>
      </c>
      <c r="I362">
        <v>1</v>
      </c>
      <c r="J362">
        <v>0</v>
      </c>
      <c r="K362">
        <v>0</v>
      </c>
      <c r="L362">
        <v>0</v>
      </c>
    </row>
    <row r="363" spans="1:12" x14ac:dyDescent="0.35">
      <c r="A363" t="s">
        <v>337</v>
      </c>
      <c r="B363" s="7">
        <v>43714.551562499997</v>
      </c>
      <c r="C363" t="s">
        <v>24</v>
      </c>
      <c r="D363" t="s">
        <v>31</v>
      </c>
      <c r="E363">
        <v>1</v>
      </c>
      <c r="F363" t="s">
        <v>236</v>
      </c>
      <c r="G363" t="s">
        <v>237</v>
      </c>
      <c r="H363">
        <v>1</v>
      </c>
      <c r="I363">
        <v>0</v>
      </c>
      <c r="J363">
        <v>0</v>
      </c>
      <c r="K363">
        <v>0</v>
      </c>
      <c r="L363">
        <v>0</v>
      </c>
    </row>
    <row r="364" spans="1:12" x14ac:dyDescent="0.35">
      <c r="A364" t="s">
        <v>337</v>
      </c>
      <c r="B364" s="7">
        <v>43714.551562499997</v>
      </c>
      <c r="C364" t="s">
        <v>24</v>
      </c>
      <c r="D364" t="s">
        <v>229</v>
      </c>
      <c r="E364">
        <v>1</v>
      </c>
      <c r="F364" t="s">
        <v>240</v>
      </c>
      <c r="G364" t="s">
        <v>237</v>
      </c>
      <c r="H364">
        <v>1</v>
      </c>
      <c r="I364">
        <v>0</v>
      </c>
      <c r="J364">
        <v>0</v>
      </c>
      <c r="K364">
        <v>0</v>
      </c>
      <c r="L364">
        <v>0</v>
      </c>
    </row>
    <row r="365" spans="1:12" x14ac:dyDescent="0.35">
      <c r="A365" t="s">
        <v>337</v>
      </c>
      <c r="B365" s="7">
        <v>43714.551562499997</v>
      </c>
      <c r="C365" t="s">
        <v>24</v>
      </c>
      <c r="D365" t="s">
        <v>229</v>
      </c>
      <c r="E365">
        <v>1</v>
      </c>
      <c r="F365" t="s">
        <v>240</v>
      </c>
      <c r="G365" t="s">
        <v>237</v>
      </c>
      <c r="H365">
        <v>1</v>
      </c>
      <c r="I365">
        <v>0</v>
      </c>
      <c r="J365">
        <v>0</v>
      </c>
      <c r="K365">
        <v>0</v>
      </c>
      <c r="L365">
        <v>0</v>
      </c>
    </row>
    <row r="366" spans="1:12" x14ac:dyDescent="0.35">
      <c r="A366" t="s">
        <v>339</v>
      </c>
      <c r="B366" s="7">
        <v>43714.551562499997</v>
      </c>
      <c r="C366" t="s">
        <v>85</v>
      </c>
      <c r="D366" t="s">
        <v>229</v>
      </c>
      <c r="E366">
        <v>1</v>
      </c>
      <c r="F366" t="s">
        <v>242</v>
      </c>
      <c r="G366" t="s">
        <v>231</v>
      </c>
      <c r="H366">
        <v>0</v>
      </c>
      <c r="I366">
        <v>0</v>
      </c>
      <c r="J366">
        <v>0</v>
      </c>
      <c r="K366">
        <v>1</v>
      </c>
      <c r="L366">
        <v>0</v>
      </c>
    </row>
    <row r="367" spans="1:12" x14ac:dyDescent="0.35">
      <c r="A367" t="s">
        <v>337</v>
      </c>
      <c r="B367" s="7">
        <v>43714.551562499997</v>
      </c>
      <c r="C367" t="s">
        <v>24</v>
      </c>
      <c r="D367" t="s">
        <v>233</v>
      </c>
      <c r="E367">
        <v>1</v>
      </c>
      <c r="F367" t="s">
        <v>242</v>
      </c>
      <c r="G367" t="s">
        <v>231</v>
      </c>
      <c r="H367">
        <v>1</v>
      </c>
      <c r="I367">
        <v>0</v>
      </c>
      <c r="J367">
        <v>0</v>
      </c>
      <c r="K367">
        <v>0</v>
      </c>
      <c r="L367">
        <v>0</v>
      </c>
    </row>
    <row r="368" spans="1:12" x14ac:dyDescent="0.35">
      <c r="A368" t="s">
        <v>340</v>
      </c>
      <c r="B368" s="7">
        <v>43715.551562499997</v>
      </c>
      <c r="C368" t="s">
        <v>24</v>
      </c>
      <c r="D368" t="s">
        <v>235</v>
      </c>
      <c r="E368">
        <v>1</v>
      </c>
      <c r="F368" t="s">
        <v>249</v>
      </c>
      <c r="G368" t="s">
        <v>231</v>
      </c>
      <c r="H368">
        <v>1</v>
      </c>
      <c r="I368">
        <v>0</v>
      </c>
      <c r="J368">
        <v>0</v>
      </c>
      <c r="K368">
        <v>0</v>
      </c>
      <c r="L368">
        <v>0</v>
      </c>
    </row>
    <row r="369" spans="1:12" x14ac:dyDescent="0.35">
      <c r="A369" t="s">
        <v>341</v>
      </c>
      <c r="B369" s="7">
        <v>43715.551562499997</v>
      </c>
      <c r="C369" t="s">
        <v>85</v>
      </c>
      <c r="D369" t="s">
        <v>233</v>
      </c>
      <c r="E369">
        <v>1</v>
      </c>
      <c r="F369" t="s">
        <v>249</v>
      </c>
      <c r="G369" t="s">
        <v>231</v>
      </c>
      <c r="H369">
        <v>0</v>
      </c>
      <c r="I369">
        <v>0</v>
      </c>
      <c r="J369">
        <v>0</v>
      </c>
      <c r="K369">
        <v>1</v>
      </c>
      <c r="L369">
        <v>0</v>
      </c>
    </row>
    <row r="370" spans="1:12" x14ac:dyDescent="0.35">
      <c r="A370" t="s">
        <v>342</v>
      </c>
      <c r="B370" s="7">
        <v>43715.551562499997</v>
      </c>
      <c r="C370" t="s">
        <v>228</v>
      </c>
      <c r="D370" t="s">
        <v>34</v>
      </c>
      <c r="E370">
        <v>1</v>
      </c>
      <c r="F370" t="s">
        <v>236</v>
      </c>
      <c r="G370" t="s">
        <v>237</v>
      </c>
      <c r="H370">
        <v>0</v>
      </c>
      <c r="I370">
        <v>1</v>
      </c>
      <c r="J370">
        <v>0</v>
      </c>
      <c r="K370">
        <v>0</v>
      </c>
      <c r="L370">
        <v>0</v>
      </c>
    </row>
    <row r="371" spans="1:12" x14ac:dyDescent="0.35">
      <c r="A371" t="s">
        <v>340</v>
      </c>
      <c r="B371" s="7">
        <v>43715.551562499997</v>
      </c>
      <c r="C371" t="s">
        <v>24</v>
      </c>
      <c r="D371" t="s">
        <v>34</v>
      </c>
      <c r="E371">
        <v>1</v>
      </c>
      <c r="F371" t="s">
        <v>239</v>
      </c>
      <c r="G371" t="s">
        <v>237</v>
      </c>
      <c r="H371">
        <v>1</v>
      </c>
      <c r="I371">
        <v>0</v>
      </c>
      <c r="J371">
        <v>0</v>
      </c>
      <c r="K371">
        <v>0</v>
      </c>
      <c r="L371">
        <v>0</v>
      </c>
    </row>
    <row r="372" spans="1:12" x14ac:dyDescent="0.35">
      <c r="A372" t="s">
        <v>340</v>
      </c>
      <c r="B372" s="7">
        <v>43715.551562499997</v>
      </c>
      <c r="C372" t="s">
        <v>24</v>
      </c>
      <c r="D372" t="s">
        <v>235</v>
      </c>
      <c r="E372">
        <v>1</v>
      </c>
      <c r="F372" t="s">
        <v>239</v>
      </c>
      <c r="G372" t="s">
        <v>237</v>
      </c>
      <c r="H372">
        <v>1</v>
      </c>
      <c r="I372">
        <v>0</v>
      </c>
      <c r="J372">
        <v>0</v>
      </c>
      <c r="K372">
        <v>0</v>
      </c>
      <c r="L372">
        <v>0</v>
      </c>
    </row>
    <row r="373" spans="1:12" x14ac:dyDescent="0.35">
      <c r="A373" t="s">
        <v>340</v>
      </c>
      <c r="B373" s="7">
        <v>43715.551562499997</v>
      </c>
      <c r="C373" t="s">
        <v>24</v>
      </c>
      <c r="D373" t="s">
        <v>235</v>
      </c>
      <c r="E373">
        <v>1</v>
      </c>
      <c r="F373" t="s">
        <v>239</v>
      </c>
      <c r="G373" t="s">
        <v>237</v>
      </c>
      <c r="H373">
        <v>1</v>
      </c>
      <c r="I373">
        <v>0</v>
      </c>
      <c r="J373">
        <v>0</v>
      </c>
      <c r="K373">
        <v>0</v>
      </c>
      <c r="L373">
        <v>0</v>
      </c>
    </row>
    <row r="374" spans="1:12" x14ac:dyDescent="0.35">
      <c r="A374" t="s">
        <v>340</v>
      </c>
      <c r="B374" s="7">
        <v>43715.551562499997</v>
      </c>
      <c r="C374" t="s">
        <v>24</v>
      </c>
      <c r="D374" t="s">
        <v>235</v>
      </c>
      <c r="E374">
        <v>1</v>
      </c>
      <c r="F374" t="s">
        <v>239</v>
      </c>
      <c r="G374" t="s">
        <v>237</v>
      </c>
      <c r="H374">
        <v>1</v>
      </c>
      <c r="I374">
        <v>0</v>
      </c>
      <c r="J374">
        <v>0</v>
      </c>
      <c r="K374">
        <v>0</v>
      </c>
      <c r="L374">
        <v>0</v>
      </c>
    </row>
    <row r="375" spans="1:12" x14ac:dyDescent="0.35">
      <c r="A375" t="s">
        <v>340</v>
      </c>
      <c r="B375" s="7">
        <v>43715.551562499997</v>
      </c>
      <c r="C375" t="s">
        <v>24</v>
      </c>
      <c r="D375" t="s">
        <v>235</v>
      </c>
      <c r="E375">
        <v>1</v>
      </c>
      <c r="F375" t="s">
        <v>242</v>
      </c>
      <c r="G375" t="s">
        <v>231</v>
      </c>
      <c r="H375">
        <v>1</v>
      </c>
      <c r="I375">
        <v>0</v>
      </c>
      <c r="J375">
        <v>0</v>
      </c>
      <c r="K375">
        <v>0</v>
      </c>
      <c r="L375">
        <v>0</v>
      </c>
    </row>
    <row r="376" spans="1:12" x14ac:dyDescent="0.35">
      <c r="A376" t="s">
        <v>343</v>
      </c>
      <c r="B376" s="7">
        <v>43716.551562499997</v>
      </c>
      <c r="C376" t="s">
        <v>24</v>
      </c>
      <c r="D376" t="s">
        <v>238</v>
      </c>
      <c r="E376">
        <v>1</v>
      </c>
      <c r="F376" t="s">
        <v>249</v>
      </c>
      <c r="G376" t="s">
        <v>231</v>
      </c>
      <c r="H376">
        <v>1</v>
      </c>
      <c r="I376">
        <v>0</v>
      </c>
      <c r="J376">
        <v>0</v>
      </c>
      <c r="K376">
        <v>0</v>
      </c>
      <c r="L376">
        <v>0</v>
      </c>
    </row>
    <row r="377" spans="1:12" x14ac:dyDescent="0.35">
      <c r="A377" t="s">
        <v>344</v>
      </c>
      <c r="B377" s="7">
        <v>43716.551562499997</v>
      </c>
      <c r="C377" t="s">
        <v>228</v>
      </c>
      <c r="D377" t="s">
        <v>238</v>
      </c>
      <c r="E377">
        <v>1</v>
      </c>
      <c r="F377" t="s">
        <v>236</v>
      </c>
      <c r="G377" t="s">
        <v>237</v>
      </c>
      <c r="H377">
        <v>0</v>
      </c>
      <c r="I377">
        <v>1</v>
      </c>
      <c r="J377">
        <v>0</v>
      </c>
      <c r="K377">
        <v>0</v>
      </c>
      <c r="L377">
        <v>0</v>
      </c>
    </row>
    <row r="378" spans="1:12" x14ac:dyDescent="0.35">
      <c r="A378" t="s">
        <v>344</v>
      </c>
      <c r="B378" s="7">
        <v>43716.551562499997</v>
      </c>
      <c r="C378" t="s">
        <v>228</v>
      </c>
      <c r="D378" t="s">
        <v>238</v>
      </c>
      <c r="E378">
        <v>1</v>
      </c>
      <c r="F378" t="s">
        <v>236</v>
      </c>
      <c r="G378" t="s">
        <v>237</v>
      </c>
      <c r="H378">
        <v>0</v>
      </c>
      <c r="I378">
        <v>1</v>
      </c>
      <c r="J378">
        <v>0</v>
      </c>
      <c r="K378">
        <v>0</v>
      </c>
      <c r="L378">
        <v>0</v>
      </c>
    </row>
    <row r="379" spans="1:12" x14ac:dyDescent="0.35">
      <c r="A379" t="s">
        <v>343</v>
      </c>
      <c r="B379" s="7">
        <v>43716.551562499997</v>
      </c>
      <c r="C379" t="s">
        <v>24</v>
      </c>
      <c r="D379" t="s">
        <v>233</v>
      </c>
      <c r="E379">
        <v>1</v>
      </c>
      <c r="F379" t="s">
        <v>236</v>
      </c>
      <c r="G379" t="s">
        <v>237</v>
      </c>
      <c r="H379">
        <v>1</v>
      </c>
      <c r="I379">
        <v>0</v>
      </c>
      <c r="J379">
        <v>0</v>
      </c>
      <c r="K379">
        <v>0</v>
      </c>
      <c r="L379">
        <v>0</v>
      </c>
    </row>
    <row r="380" spans="1:12" x14ac:dyDescent="0.35">
      <c r="A380" t="s">
        <v>344</v>
      </c>
      <c r="B380" s="7">
        <v>43716.551562499997</v>
      </c>
      <c r="C380" t="s">
        <v>228</v>
      </c>
      <c r="D380" t="s">
        <v>238</v>
      </c>
      <c r="E380">
        <v>1</v>
      </c>
      <c r="F380" t="s">
        <v>240</v>
      </c>
      <c r="G380" t="s">
        <v>237</v>
      </c>
      <c r="H380">
        <v>0</v>
      </c>
      <c r="I380">
        <v>1</v>
      </c>
      <c r="J380">
        <v>0</v>
      </c>
      <c r="K380">
        <v>0</v>
      </c>
      <c r="L380">
        <v>0</v>
      </c>
    </row>
    <row r="381" spans="1:12" x14ac:dyDescent="0.35">
      <c r="A381" t="s">
        <v>343</v>
      </c>
      <c r="B381" s="7">
        <v>43716.551562499997</v>
      </c>
      <c r="C381" t="s">
        <v>24</v>
      </c>
      <c r="D381" t="s">
        <v>31</v>
      </c>
      <c r="E381">
        <v>1</v>
      </c>
      <c r="F381" t="s">
        <v>240</v>
      </c>
      <c r="G381" t="s">
        <v>237</v>
      </c>
      <c r="H381">
        <v>1</v>
      </c>
      <c r="I381">
        <v>0</v>
      </c>
      <c r="J381">
        <v>0</v>
      </c>
      <c r="K381">
        <v>0</v>
      </c>
      <c r="L381">
        <v>0</v>
      </c>
    </row>
    <row r="382" spans="1:12" x14ac:dyDescent="0.35">
      <c r="A382" t="s">
        <v>343</v>
      </c>
      <c r="B382" s="7">
        <v>43716.551562499997</v>
      </c>
      <c r="C382" t="s">
        <v>24</v>
      </c>
      <c r="D382" t="s">
        <v>238</v>
      </c>
      <c r="E382">
        <v>1</v>
      </c>
      <c r="F382" t="s">
        <v>240</v>
      </c>
      <c r="G382" t="s">
        <v>237</v>
      </c>
      <c r="H382">
        <v>1</v>
      </c>
      <c r="I382">
        <v>0</v>
      </c>
      <c r="J382">
        <v>0</v>
      </c>
      <c r="K382">
        <v>0</v>
      </c>
      <c r="L382">
        <v>0</v>
      </c>
    </row>
    <row r="383" spans="1:12" x14ac:dyDescent="0.35">
      <c r="A383" t="s">
        <v>343</v>
      </c>
      <c r="B383" s="7">
        <v>43716.551562499997</v>
      </c>
      <c r="C383" t="s">
        <v>24</v>
      </c>
      <c r="D383" t="s">
        <v>233</v>
      </c>
      <c r="E383">
        <v>1</v>
      </c>
      <c r="F383" t="s">
        <v>240</v>
      </c>
      <c r="G383" t="s">
        <v>237</v>
      </c>
      <c r="H383">
        <v>1</v>
      </c>
      <c r="I383">
        <v>0</v>
      </c>
      <c r="J383">
        <v>0</v>
      </c>
      <c r="K383">
        <v>0</v>
      </c>
      <c r="L383">
        <v>0</v>
      </c>
    </row>
    <row r="384" spans="1:12" x14ac:dyDescent="0.35">
      <c r="A384" t="s">
        <v>345</v>
      </c>
      <c r="B384" s="7">
        <v>43716.551562499997</v>
      </c>
      <c r="C384" t="s">
        <v>85</v>
      </c>
      <c r="D384" t="s">
        <v>229</v>
      </c>
      <c r="E384">
        <v>1</v>
      </c>
      <c r="F384" t="s">
        <v>240</v>
      </c>
      <c r="G384" t="s">
        <v>237</v>
      </c>
      <c r="H384">
        <v>0</v>
      </c>
      <c r="I384">
        <v>0</v>
      </c>
      <c r="J384">
        <v>0</v>
      </c>
      <c r="K384">
        <v>1</v>
      </c>
      <c r="L384">
        <v>0</v>
      </c>
    </row>
    <row r="385" spans="1:12" x14ac:dyDescent="0.35">
      <c r="A385" t="s">
        <v>346</v>
      </c>
      <c r="B385" s="7">
        <v>43717.551562499997</v>
      </c>
      <c r="C385" t="s">
        <v>24</v>
      </c>
      <c r="D385" t="s">
        <v>235</v>
      </c>
      <c r="E385">
        <v>1</v>
      </c>
      <c r="F385" t="s">
        <v>230</v>
      </c>
      <c r="G385" t="s">
        <v>231</v>
      </c>
      <c r="H385">
        <v>1</v>
      </c>
      <c r="I385">
        <v>0</v>
      </c>
      <c r="J385">
        <v>0</v>
      </c>
      <c r="K385">
        <v>0</v>
      </c>
      <c r="L385">
        <v>0</v>
      </c>
    </row>
    <row r="386" spans="1:12" x14ac:dyDescent="0.35">
      <c r="A386" t="s">
        <v>347</v>
      </c>
      <c r="B386" s="7">
        <v>43717.551562499997</v>
      </c>
      <c r="C386" t="s">
        <v>85</v>
      </c>
      <c r="D386" t="s">
        <v>229</v>
      </c>
      <c r="E386">
        <v>1</v>
      </c>
      <c r="F386" t="s">
        <v>230</v>
      </c>
      <c r="G386" t="s">
        <v>231</v>
      </c>
      <c r="H386">
        <v>0</v>
      </c>
      <c r="I386">
        <v>0</v>
      </c>
      <c r="J386">
        <v>0</v>
      </c>
      <c r="K386">
        <v>1</v>
      </c>
      <c r="L386">
        <v>0</v>
      </c>
    </row>
    <row r="387" spans="1:12" x14ac:dyDescent="0.35">
      <c r="A387" t="s">
        <v>346</v>
      </c>
      <c r="B387" s="7">
        <v>43717.551562499997</v>
      </c>
      <c r="C387" t="s">
        <v>24</v>
      </c>
      <c r="D387" t="s">
        <v>34</v>
      </c>
      <c r="E387">
        <v>1</v>
      </c>
      <c r="F387" t="s">
        <v>249</v>
      </c>
      <c r="G387" t="s">
        <v>231</v>
      </c>
      <c r="H387">
        <v>1</v>
      </c>
      <c r="I387">
        <v>0</v>
      </c>
      <c r="J387">
        <v>0</v>
      </c>
      <c r="K387">
        <v>0</v>
      </c>
      <c r="L387">
        <v>0</v>
      </c>
    </row>
    <row r="388" spans="1:12" x14ac:dyDescent="0.35">
      <c r="A388" t="s">
        <v>347</v>
      </c>
      <c r="B388" s="7">
        <v>43717.551562499997</v>
      </c>
      <c r="C388" t="s">
        <v>85</v>
      </c>
      <c r="D388" t="s">
        <v>238</v>
      </c>
      <c r="E388">
        <v>1</v>
      </c>
      <c r="F388" t="s">
        <v>249</v>
      </c>
      <c r="G388" t="s">
        <v>231</v>
      </c>
      <c r="H388">
        <v>0</v>
      </c>
      <c r="I388">
        <v>0</v>
      </c>
      <c r="J388">
        <v>0</v>
      </c>
      <c r="K388">
        <v>1</v>
      </c>
      <c r="L388">
        <v>0</v>
      </c>
    </row>
    <row r="389" spans="1:12" x14ac:dyDescent="0.35">
      <c r="A389" t="s">
        <v>346</v>
      </c>
      <c r="B389" s="7">
        <v>43717.551562499997</v>
      </c>
      <c r="C389" t="s">
        <v>24</v>
      </c>
      <c r="D389" t="s">
        <v>233</v>
      </c>
      <c r="E389">
        <v>1</v>
      </c>
      <c r="F389" t="s">
        <v>249</v>
      </c>
      <c r="G389" t="s">
        <v>231</v>
      </c>
      <c r="H389">
        <v>1</v>
      </c>
      <c r="I389">
        <v>0</v>
      </c>
      <c r="J389">
        <v>0</v>
      </c>
      <c r="K389">
        <v>0</v>
      </c>
      <c r="L389">
        <v>0</v>
      </c>
    </row>
    <row r="390" spans="1:12" x14ac:dyDescent="0.35">
      <c r="A390" t="s">
        <v>348</v>
      </c>
      <c r="B390" s="7">
        <v>43717.551562499997</v>
      </c>
      <c r="C390" t="s">
        <v>228</v>
      </c>
      <c r="D390" t="s">
        <v>233</v>
      </c>
      <c r="E390">
        <v>1</v>
      </c>
      <c r="F390" t="s">
        <v>236</v>
      </c>
      <c r="G390" t="s">
        <v>237</v>
      </c>
      <c r="H390">
        <v>0</v>
      </c>
      <c r="I390">
        <v>1</v>
      </c>
      <c r="J390">
        <v>0</v>
      </c>
      <c r="K390">
        <v>0</v>
      </c>
      <c r="L390">
        <v>0</v>
      </c>
    </row>
    <row r="391" spans="1:12" x14ac:dyDescent="0.35">
      <c r="A391" t="s">
        <v>348</v>
      </c>
      <c r="B391" s="7">
        <v>43717.551562499997</v>
      </c>
      <c r="C391" t="s">
        <v>228</v>
      </c>
      <c r="D391" t="s">
        <v>238</v>
      </c>
      <c r="E391">
        <v>1</v>
      </c>
      <c r="F391" t="s">
        <v>239</v>
      </c>
      <c r="G391" t="s">
        <v>237</v>
      </c>
      <c r="H391">
        <v>0</v>
      </c>
      <c r="I391">
        <v>1</v>
      </c>
      <c r="J391">
        <v>0</v>
      </c>
      <c r="K391">
        <v>0</v>
      </c>
      <c r="L391">
        <v>0</v>
      </c>
    </row>
    <row r="392" spans="1:12" x14ac:dyDescent="0.35">
      <c r="A392" t="s">
        <v>347</v>
      </c>
      <c r="B392" s="7">
        <v>43717.551562499997</v>
      </c>
      <c r="C392" t="s">
        <v>85</v>
      </c>
      <c r="D392" t="s">
        <v>31</v>
      </c>
      <c r="E392">
        <v>1</v>
      </c>
      <c r="F392" t="s">
        <v>239</v>
      </c>
      <c r="G392" t="s">
        <v>237</v>
      </c>
      <c r="H392">
        <v>0</v>
      </c>
      <c r="I392">
        <v>0</v>
      </c>
      <c r="J392">
        <v>0</v>
      </c>
      <c r="K392">
        <v>1</v>
      </c>
      <c r="L392">
        <v>0</v>
      </c>
    </row>
    <row r="393" spans="1:12" x14ac:dyDescent="0.35">
      <c r="A393" t="s">
        <v>346</v>
      </c>
      <c r="B393" s="7">
        <v>43717.551562499997</v>
      </c>
      <c r="C393" t="s">
        <v>24</v>
      </c>
      <c r="D393" t="s">
        <v>235</v>
      </c>
      <c r="E393">
        <v>1</v>
      </c>
      <c r="F393" t="s">
        <v>239</v>
      </c>
      <c r="G393" t="s">
        <v>237</v>
      </c>
      <c r="H393">
        <v>1</v>
      </c>
      <c r="I393">
        <v>0</v>
      </c>
      <c r="J393">
        <v>0</v>
      </c>
      <c r="K393">
        <v>0</v>
      </c>
      <c r="L393">
        <v>0</v>
      </c>
    </row>
    <row r="394" spans="1:12" x14ac:dyDescent="0.35">
      <c r="A394" t="s">
        <v>349</v>
      </c>
      <c r="B394" s="7">
        <v>43717.551562499997</v>
      </c>
      <c r="C394" t="s">
        <v>108</v>
      </c>
      <c r="D394" t="s">
        <v>34</v>
      </c>
      <c r="E394">
        <v>1</v>
      </c>
      <c r="F394" t="s">
        <v>240</v>
      </c>
      <c r="G394" t="s">
        <v>237</v>
      </c>
      <c r="H394">
        <v>0</v>
      </c>
      <c r="I394">
        <v>0</v>
      </c>
      <c r="J394">
        <v>1</v>
      </c>
      <c r="K394">
        <v>0</v>
      </c>
      <c r="L394">
        <v>0</v>
      </c>
    </row>
    <row r="395" spans="1:12" x14ac:dyDescent="0.35">
      <c r="A395" t="s">
        <v>348</v>
      </c>
      <c r="B395" s="7">
        <v>43717.551562499997</v>
      </c>
      <c r="C395" t="s">
        <v>228</v>
      </c>
      <c r="D395" t="s">
        <v>31</v>
      </c>
      <c r="E395">
        <v>1</v>
      </c>
      <c r="F395" t="s">
        <v>242</v>
      </c>
      <c r="G395" t="s">
        <v>231</v>
      </c>
      <c r="H395">
        <v>0</v>
      </c>
      <c r="I395">
        <v>1</v>
      </c>
      <c r="J395">
        <v>0</v>
      </c>
      <c r="K395">
        <v>0</v>
      </c>
      <c r="L395">
        <v>0</v>
      </c>
    </row>
    <row r="396" spans="1:12" x14ac:dyDescent="0.35">
      <c r="A396" t="s">
        <v>346</v>
      </c>
      <c r="B396" s="7">
        <v>43717.551562499997</v>
      </c>
      <c r="C396" t="s">
        <v>24</v>
      </c>
      <c r="D396" t="s">
        <v>235</v>
      </c>
      <c r="E396">
        <v>1</v>
      </c>
      <c r="F396" t="s">
        <v>242</v>
      </c>
      <c r="G396" t="s">
        <v>231</v>
      </c>
      <c r="H396">
        <v>1</v>
      </c>
      <c r="I396">
        <v>0</v>
      </c>
      <c r="J396">
        <v>0</v>
      </c>
      <c r="K396">
        <v>0</v>
      </c>
      <c r="L396">
        <v>0</v>
      </c>
    </row>
    <row r="397" spans="1:12" x14ac:dyDescent="0.35">
      <c r="A397" t="s">
        <v>346</v>
      </c>
      <c r="B397" s="7">
        <v>43717.551562499997</v>
      </c>
      <c r="C397" t="s">
        <v>24</v>
      </c>
      <c r="D397" t="s">
        <v>229</v>
      </c>
      <c r="E397">
        <v>1</v>
      </c>
      <c r="F397" t="s">
        <v>242</v>
      </c>
      <c r="G397" t="s">
        <v>231</v>
      </c>
      <c r="H397">
        <v>1</v>
      </c>
      <c r="I397">
        <v>0</v>
      </c>
      <c r="J397">
        <v>0</v>
      </c>
      <c r="K397">
        <v>0</v>
      </c>
      <c r="L397">
        <v>0</v>
      </c>
    </row>
    <row r="398" spans="1:12" x14ac:dyDescent="0.35">
      <c r="A398" t="s">
        <v>346</v>
      </c>
      <c r="B398" s="7">
        <v>43717.551562499997</v>
      </c>
      <c r="C398" t="s">
        <v>24</v>
      </c>
      <c r="D398" t="s">
        <v>229</v>
      </c>
      <c r="E398">
        <v>1</v>
      </c>
      <c r="F398" t="s">
        <v>242</v>
      </c>
      <c r="G398" t="s">
        <v>231</v>
      </c>
      <c r="H398">
        <v>1</v>
      </c>
      <c r="I398">
        <v>0</v>
      </c>
      <c r="J398">
        <v>0</v>
      </c>
      <c r="K398">
        <v>0</v>
      </c>
      <c r="L398">
        <v>0</v>
      </c>
    </row>
    <row r="399" spans="1:12" x14ac:dyDescent="0.35">
      <c r="A399" t="s">
        <v>350</v>
      </c>
      <c r="B399" s="7">
        <v>43718.551562499997</v>
      </c>
      <c r="C399" t="s">
        <v>24</v>
      </c>
      <c r="D399" t="s">
        <v>31</v>
      </c>
      <c r="E399">
        <v>1</v>
      </c>
      <c r="F399" t="s">
        <v>230</v>
      </c>
      <c r="G399" t="s">
        <v>231</v>
      </c>
      <c r="H399">
        <v>1</v>
      </c>
      <c r="I399">
        <v>0</v>
      </c>
      <c r="J399">
        <v>0</v>
      </c>
      <c r="K399">
        <v>0</v>
      </c>
      <c r="L399">
        <v>0</v>
      </c>
    </row>
    <row r="400" spans="1:12" x14ac:dyDescent="0.35">
      <c r="A400" t="s">
        <v>351</v>
      </c>
      <c r="B400" s="7">
        <v>43718.551562499997</v>
      </c>
      <c r="C400" t="s">
        <v>85</v>
      </c>
      <c r="D400" t="s">
        <v>233</v>
      </c>
      <c r="E400">
        <v>1</v>
      </c>
      <c r="F400" t="s">
        <v>249</v>
      </c>
      <c r="G400" t="s">
        <v>231</v>
      </c>
      <c r="H400">
        <v>0</v>
      </c>
      <c r="I400">
        <v>0</v>
      </c>
      <c r="J400">
        <v>0</v>
      </c>
      <c r="K400">
        <v>1</v>
      </c>
      <c r="L400">
        <v>0</v>
      </c>
    </row>
    <row r="401" spans="1:12" x14ac:dyDescent="0.35">
      <c r="A401" t="s">
        <v>350</v>
      </c>
      <c r="B401" s="7">
        <v>43718.551562499997</v>
      </c>
      <c r="C401" t="s">
        <v>24</v>
      </c>
      <c r="D401" t="s">
        <v>238</v>
      </c>
      <c r="E401">
        <v>1</v>
      </c>
      <c r="F401" t="s">
        <v>239</v>
      </c>
      <c r="G401" t="s">
        <v>237</v>
      </c>
      <c r="H401">
        <v>1</v>
      </c>
      <c r="I401">
        <v>0</v>
      </c>
      <c r="J401">
        <v>0</v>
      </c>
      <c r="K401">
        <v>0</v>
      </c>
      <c r="L401">
        <v>0</v>
      </c>
    </row>
    <row r="402" spans="1:12" x14ac:dyDescent="0.35">
      <c r="A402" t="s">
        <v>350</v>
      </c>
      <c r="B402" s="7">
        <v>43718.551562499997</v>
      </c>
      <c r="C402" t="s">
        <v>24</v>
      </c>
      <c r="D402" t="s">
        <v>235</v>
      </c>
      <c r="E402">
        <v>1</v>
      </c>
      <c r="F402" t="s">
        <v>239</v>
      </c>
      <c r="G402" t="s">
        <v>237</v>
      </c>
      <c r="H402">
        <v>1</v>
      </c>
      <c r="I402">
        <v>0</v>
      </c>
      <c r="J402">
        <v>0</v>
      </c>
      <c r="K402">
        <v>0</v>
      </c>
      <c r="L402">
        <v>0</v>
      </c>
    </row>
    <row r="403" spans="1:12" x14ac:dyDescent="0.35">
      <c r="A403" t="s">
        <v>352</v>
      </c>
      <c r="B403" s="7">
        <v>43718.551562499997</v>
      </c>
      <c r="C403" t="s">
        <v>108</v>
      </c>
      <c r="D403" t="s">
        <v>229</v>
      </c>
      <c r="E403">
        <v>1</v>
      </c>
      <c r="F403" t="s">
        <v>240</v>
      </c>
      <c r="G403" t="s">
        <v>237</v>
      </c>
      <c r="H403">
        <v>0</v>
      </c>
      <c r="I403">
        <v>0</v>
      </c>
      <c r="J403">
        <v>1</v>
      </c>
      <c r="K403">
        <v>0</v>
      </c>
      <c r="L403">
        <v>0</v>
      </c>
    </row>
    <row r="404" spans="1:12" x14ac:dyDescent="0.35">
      <c r="A404" t="s">
        <v>350</v>
      </c>
      <c r="B404" s="7">
        <v>43718.551562499997</v>
      </c>
      <c r="C404" t="s">
        <v>24</v>
      </c>
      <c r="D404" t="s">
        <v>238</v>
      </c>
      <c r="E404">
        <v>1</v>
      </c>
      <c r="F404" t="s">
        <v>242</v>
      </c>
      <c r="G404" t="s">
        <v>231</v>
      </c>
      <c r="H404">
        <v>1</v>
      </c>
      <c r="I404">
        <v>0</v>
      </c>
      <c r="J404">
        <v>0</v>
      </c>
      <c r="K404">
        <v>0</v>
      </c>
      <c r="L404">
        <v>0</v>
      </c>
    </row>
    <row r="405" spans="1:12" x14ac:dyDescent="0.35">
      <c r="A405" t="s">
        <v>350</v>
      </c>
      <c r="B405" s="7">
        <v>43718.551562499997</v>
      </c>
      <c r="C405" t="s">
        <v>24</v>
      </c>
      <c r="D405" t="s">
        <v>235</v>
      </c>
      <c r="E405">
        <v>1</v>
      </c>
      <c r="F405" t="s">
        <v>242</v>
      </c>
      <c r="G405" t="s">
        <v>231</v>
      </c>
      <c r="H405">
        <v>1</v>
      </c>
      <c r="I405">
        <v>0</v>
      </c>
      <c r="J405">
        <v>0</v>
      </c>
      <c r="K405">
        <v>0</v>
      </c>
      <c r="L405">
        <v>0</v>
      </c>
    </row>
    <row r="406" spans="1:12" x14ac:dyDescent="0.35">
      <c r="A406" t="s">
        <v>350</v>
      </c>
      <c r="B406" s="7">
        <v>43718.551562499997</v>
      </c>
      <c r="C406" t="s">
        <v>24</v>
      </c>
      <c r="D406" t="s">
        <v>233</v>
      </c>
      <c r="E406">
        <v>1</v>
      </c>
      <c r="F406" t="s">
        <v>242</v>
      </c>
      <c r="G406" t="s">
        <v>231</v>
      </c>
      <c r="H406">
        <v>1</v>
      </c>
      <c r="I406">
        <v>0</v>
      </c>
      <c r="J406">
        <v>0</v>
      </c>
      <c r="K406">
        <v>0</v>
      </c>
      <c r="L406">
        <v>0</v>
      </c>
    </row>
    <row r="407" spans="1:12" x14ac:dyDescent="0.35">
      <c r="A407" t="s">
        <v>353</v>
      </c>
      <c r="B407" s="7">
        <v>43719.551562499997</v>
      </c>
      <c r="C407" t="s">
        <v>228</v>
      </c>
      <c r="D407" t="s">
        <v>233</v>
      </c>
      <c r="E407">
        <v>1</v>
      </c>
      <c r="F407" t="s">
        <v>230</v>
      </c>
      <c r="G407" t="s">
        <v>231</v>
      </c>
      <c r="H407">
        <v>0</v>
      </c>
      <c r="I407">
        <v>1</v>
      </c>
      <c r="J407">
        <v>0</v>
      </c>
      <c r="K407">
        <v>0</v>
      </c>
      <c r="L407">
        <v>0</v>
      </c>
    </row>
    <row r="408" spans="1:12" x14ac:dyDescent="0.35">
      <c r="A408" t="s">
        <v>354</v>
      </c>
      <c r="B408" s="7">
        <v>43719.551562499997</v>
      </c>
      <c r="C408" t="s">
        <v>108</v>
      </c>
      <c r="D408" t="s">
        <v>229</v>
      </c>
      <c r="E408">
        <v>1</v>
      </c>
      <c r="F408" t="s">
        <v>230</v>
      </c>
      <c r="G408" t="s">
        <v>231</v>
      </c>
      <c r="H408">
        <v>0</v>
      </c>
      <c r="I408">
        <v>0</v>
      </c>
      <c r="J408">
        <v>1</v>
      </c>
      <c r="K408">
        <v>0</v>
      </c>
      <c r="L408">
        <v>0</v>
      </c>
    </row>
    <row r="409" spans="1:12" x14ac:dyDescent="0.35">
      <c r="A409" t="s">
        <v>353</v>
      </c>
      <c r="B409" s="7">
        <v>43719.551562499997</v>
      </c>
      <c r="C409" t="s">
        <v>228</v>
      </c>
      <c r="D409" t="s">
        <v>238</v>
      </c>
      <c r="E409">
        <v>1</v>
      </c>
      <c r="F409" t="s">
        <v>249</v>
      </c>
      <c r="G409" t="s">
        <v>231</v>
      </c>
      <c r="H409">
        <v>0</v>
      </c>
      <c r="I409">
        <v>1</v>
      </c>
      <c r="J409">
        <v>0</v>
      </c>
      <c r="K409">
        <v>0</v>
      </c>
      <c r="L409">
        <v>0</v>
      </c>
    </row>
    <row r="410" spans="1:12" x14ac:dyDescent="0.35">
      <c r="A410" t="s">
        <v>355</v>
      </c>
      <c r="B410" s="7">
        <v>43719.551562499997</v>
      </c>
      <c r="C410" t="s">
        <v>24</v>
      </c>
      <c r="D410" t="s">
        <v>34</v>
      </c>
      <c r="E410">
        <v>1</v>
      </c>
      <c r="F410" t="s">
        <v>236</v>
      </c>
      <c r="G410" t="s">
        <v>237</v>
      </c>
      <c r="H410">
        <v>1</v>
      </c>
      <c r="I410">
        <v>0</v>
      </c>
      <c r="J410">
        <v>0</v>
      </c>
      <c r="K410">
        <v>0</v>
      </c>
      <c r="L410">
        <v>0</v>
      </c>
    </row>
    <row r="411" spans="1:12" x14ac:dyDescent="0.35">
      <c r="A411" t="s">
        <v>356</v>
      </c>
      <c r="B411" s="7">
        <v>43719.551562499997</v>
      </c>
      <c r="C411" t="s">
        <v>85</v>
      </c>
      <c r="D411" t="s">
        <v>229</v>
      </c>
      <c r="E411">
        <v>1</v>
      </c>
      <c r="F411" t="s">
        <v>240</v>
      </c>
      <c r="G411" t="s">
        <v>237</v>
      </c>
      <c r="H411">
        <v>0</v>
      </c>
      <c r="I411">
        <v>0</v>
      </c>
      <c r="J411">
        <v>0</v>
      </c>
      <c r="K411">
        <v>1</v>
      </c>
      <c r="L411">
        <v>0</v>
      </c>
    </row>
    <row r="412" spans="1:12" x14ac:dyDescent="0.35">
      <c r="A412" t="s">
        <v>355</v>
      </c>
      <c r="B412" s="7">
        <v>43719.551562499997</v>
      </c>
      <c r="C412" t="s">
        <v>24</v>
      </c>
      <c r="D412" t="s">
        <v>238</v>
      </c>
      <c r="E412">
        <v>1</v>
      </c>
      <c r="F412" t="s">
        <v>240</v>
      </c>
      <c r="G412" t="s">
        <v>237</v>
      </c>
      <c r="H412">
        <v>1</v>
      </c>
      <c r="I412">
        <v>0</v>
      </c>
      <c r="J412">
        <v>0</v>
      </c>
      <c r="K412">
        <v>0</v>
      </c>
      <c r="L412">
        <v>0</v>
      </c>
    </row>
    <row r="413" spans="1:12" x14ac:dyDescent="0.35">
      <c r="A413" t="s">
        <v>355</v>
      </c>
      <c r="B413" s="7">
        <v>43719.551562499997</v>
      </c>
      <c r="C413" t="s">
        <v>24</v>
      </c>
      <c r="D413" t="s">
        <v>31</v>
      </c>
      <c r="E413">
        <v>1</v>
      </c>
      <c r="F413" t="s">
        <v>240</v>
      </c>
      <c r="G413" t="s">
        <v>237</v>
      </c>
      <c r="H413">
        <v>1</v>
      </c>
      <c r="I413">
        <v>0</v>
      </c>
      <c r="J413">
        <v>0</v>
      </c>
      <c r="K413">
        <v>0</v>
      </c>
      <c r="L413">
        <v>0</v>
      </c>
    </row>
    <row r="414" spans="1:12" x14ac:dyDescent="0.35">
      <c r="A414" t="s">
        <v>355</v>
      </c>
      <c r="B414" s="7">
        <v>43719.551562499997</v>
      </c>
      <c r="C414" t="s">
        <v>24</v>
      </c>
      <c r="D414" t="s">
        <v>34</v>
      </c>
      <c r="E414">
        <v>1</v>
      </c>
      <c r="F414" t="s">
        <v>240</v>
      </c>
      <c r="G414" t="s">
        <v>237</v>
      </c>
      <c r="H414">
        <v>1</v>
      </c>
      <c r="I414">
        <v>0</v>
      </c>
      <c r="J414">
        <v>0</v>
      </c>
      <c r="K414">
        <v>0</v>
      </c>
      <c r="L414">
        <v>0</v>
      </c>
    </row>
    <row r="415" spans="1:12" x14ac:dyDescent="0.35">
      <c r="A415" t="s">
        <v>357</v>
      </c>
      <c r="B415" s="7">
        <v>43720.551562499997</v>
      </c>
      <c r="C415" t="s">
        <v>228</v>
      </c>
      <c r="D415" t="s">
        <v>34</v>
      </c>
      <c r="E415">
        <v>1</v>
      </c>
      <c r="F415" t="s">
        <v>230</v>
      </c>
      <c r="G415" t="s">
        <v>231</v>
      </c>
      <c r="H415">
        <v>0</v>
      </c>
      <c r="I415">
        <v>1</v>
      </c>
      <c r="J415">
        <v>0</v>
      </c>
      <c r="K415">
        <v>0</v>
      </c>
      <c r="L415">
        <v>0</v>
      </c>
    </row>
    <row r="416" spans="1:12" x14ac:dyDescent="0.35">
      <c r="A416" t="s">
        <v>358</v>
      </c>
      <c r="B416" s="7">
        <v>43720.551562499997</v>
      </c>
      <c r="C416" t="s">
        <v>24</v>
      </c>
      <c r="D416" t="s">
        <v>235</v>
      </c>
      <c r="E416">
        <v>1</v>
      </c>
      <c r="F416" t="s">
        <v>230</v>
      </c>
      <c r="G416" t="s">
        <v>231</v>
      </c>
      <c r="H416">
        <v>1</v>
      </c>
      <c r="I416">
        <v>0</v>
      </c>
      <c r="J416">
        <v>0</v>
      </c>
      <c r="K416">
        <v>0</v>
      </c>
      <c r="L416">
        <v>0</v>
      </c>
    </row>
    <row r="417" spans="1:12" x14ac:dyDescent="0.35">
      <c r="A417" t="s">
        <v>358</v>
      </c>
      <c r="B417" s="7">
        <v>43720.551562499997</v>
      </c>
      <c r="C417" t="s">
        <v>24</v>
      </c>
      <c r="D417" t="s">
        <v>34</v>
      </c>
      <c r="E417">
        <v>1</v>
      </c>
      <c r="F417" t="s">
        <v>249</v>
      </c>
      <c r="G417" t="s">
        <v>231</v>
      </c>
      <c r="H417">
        <v>1</v>
      </c>
      <c r="I417">
        <v>0</v>
      </c>
      <c r="J417">
        <v>0</v>
      </c>
      <c r="K417">
        <v>0</v>
      </c>
      <c r="L417">
        <v>0</v>
      </c>
    </row>
    <row r="418" spans="1:12" x14ac:dyDescent="0.35">
      <c r="A418" t="s">
        <v>357</v>
      </c>
      <c r="B418" s="7">
        <v>43720.551562499997</v>
      </c>
      <c r="C418" t="s">
        <v>228</v>
      </c>
      <c r="D418" t="s">
        <v>229</v>
      </c>
      <c r="E418">
        <v>1</v>
      </c>
      <c r="F418" t="s">
        <v>249</v>
      </c>
      <c r="G418" t="s">
        <v>231</v>
      </c>
      <c r="H418">
        <v>0</v>
      </c>
      <c r="I418">
        <v>1</v>
      </c>
      <c r="J418">
        <v>0</v>
      </c>
      <c r="K418">
        <v>0</v>
      </c>
      <c r="L418">
        <v>0</v>
      </c>
    </row>
    <row r="419" spans="1:12" x14ac:dyDescent="0.35">
      <c r="A419" t="s">
        <v>358</v>
      </c>
      <c r="B419" s="7">
        <v>43720.551562499997</v>
      </c>
      <c r="C419" t="s">
        <v>24</v>
      </c>
      <c r="D419" t="s">
        <v>34</v>
      </c>
      <c r="E419">
        <v>1</v>
      </c>
      <c r="F419" t="s">
        <v>236</v>
      </c>
      <c r="G419" t="s">
        <v>237</v>
      </c>
      <c r="H419">
        <v>1</v>
      </c>
      <c r="I419">
        <v>0</v>
      </c>
      <c r="J419">
        <v>0</v>
      </c>
      <c r="K419">
        <v>0</v>
      </c>
      <c r="L419">
        <v>0</v>
      </c>
    </row>
    <row r="420" spans="1:12" x14ac:dyDescent="0.35">
      <c r="A420" t="s">
        <v>358</v>
      </c>
      <c r="B420" s="7">
        <v>43720.551562499997</v>
      </c>
      <c r="C420" t="s">
        <v>24</v>
      </c>
      <c r="D420" t="s">
        <v>31</v>
      </c>
      <c r="E420">
        <v>1</v>
      </c>
      <c r="F420" t="s">
        <v>239</v>
      </c>
      <c r="G420" t="s">
        <v>237</v>
      </c>
      <c r="H420">
        <v>1</v>
      </c>
      <c r="I420">
        <v>0</v>
      </c>
      <c r="J420">
        <v>0</v>
      </c>
      <c r="K420">
        <v>0</v>
      </c>
      <c r="L420">
        <v>0</v>
      </c>
    </row>
    <row r="421" spans="1:12" x14ac:dyDescent="0.35">
      <c r="A421" t="s">
        <v>358</v>
      </c>
      <c r="B421" s="7">
        <v>43720.551562499997</v>
      </c>
      <c r="C421" t="s">
        <v>24</v>
      </c>
      <c r="D421" t="s">
        <v>31</v>
      </c>
      <c r="E421">
        <v>1</v>
      </c>
      <c r="F421" t="s">
        <v>239</v>
      </c>
      <c r="G421" t="s">
        <v>237</v>
      </c>
      <c r="H421">
        <v>1</v>
      </c>
      <c r="I421">
        <v>0</v>
      </c>
      <c r="J421">
        <v>0</v>
      </c>
      <c r="K421">
        <v>0</v>
      </c>
      <c r="L421">
        <v>0</v>
      </c>
    </row>
    <row r="422" spans="1:12" x14ac:dyDescent="0.35">
      <c r="A422" t="s">
        <v>358</v>
      </c>
      <c r="B422" s="7">
        <v>43720.551562499997</v>
      </c>
      <c r="C422" t="s">
        <v>24</v>
      </c>
      <c r="D422" t="s">
        <v>31</v>
      </c>
      <c r="E422">
        <v>1</v>
      </c>
      <c r="F422" t="s">
        <v>240</v>
      </c>
      <c r="G422" t="s">
        <v>237</v>
      </c>
      <c r="H422">
        <v>1</v>
      </c>
      <c r="I422">
        <v>0</v>
      </c>
      <c r="J422">
        <v>0</v>
      </c>
      <c r="K422">
        <v>0</v>
      </c>
      <c r="L422">
        <v>0</v>
      </c>
    </row>
    <row r="423" spans="1:12" x14ac:dyDescent="0.35">
      <c r="A423" t="s">
        <v>359</v>
      </c>
      <c r="B423" s="7">
        <v>43720.551562499997</v>
      </c>
      <c r="C423" t="s">
        <v>85</v>
      </c>
      <c r="D423" t="s">
        <v>238</v>
      </c>
      <c r="E423">
        <v>1</v>
      </c>
      <c r="F423" t="s">
        <v>242</v>
      </c>
      <c r="G423" t="s">
        <v>231</v>
      </c>
      <c r="H423">
        <v>0</v>
      </c>
      <c r="I423">
        <v>0</v>
      </c>
      <c r="J423">
        <v>0</v>
      </c>
      <c r="K423">
        <v>1</v>
      </c>
      <c r="L423">
        <v>0</v>
      </c>
    </row>
    <row r="424" spans="1:12" x14ac:dyDescent="0.35">
      <c r="A424" t="s">
        <v>358</v>
      </c>
      <c r="B424" s="7">
        <v>43720.551562499997</v>
      </c>
      <c r="C424" t="s">
        <v>24</v>
      </c>
      <c r="D424" t="s">
        <v>34</v>
      </c>
      <c r="E424">
        <v>1</v>
      </c>
      <c r="F424" t="s">
        <v>242</v>
      </c>
      <c r="G424" t="s">
        <v>231</v>
      </c>
      <c r="H424">
        <v>1</v>
      </c>
      <c r="I424">
        <v>0</v>
      </c>
      <c r="J424">
        <v>0</v>
      </c>
      <c r="K424">
        <v>0</v>
      </c>
      <c r="L424">
        <v>0</v>
      </c>
    </row>
    <row r="425" spans="1:12" x14ac:dyDescent="0.35">
      <c r="A425" t="s">
        <v>23</v>
      </c>
      <c r="B425" s="7">
        <v>43721.460347222222</v>
      </c>
      <c r="C425" t="s">
        <v>24</v>
      </c>
      <c r="D425" t="s">
        <v>25</v>
      </c>
      <c r="E425">
        <v>1</v>
      </c>
      <c r="F425" t="s">
        <v>505</v>
      </c>
      <c r="G425" t="s">
        <v>27</v>
      </c>
      <c r="H425">
        <v>1</v>
      </c>
      <c r="I425">
        <v>0</v>
      </c>
      <c r="J425">
        <v>0</v>
      </c>
      <c r="K425">
        <v>0</v>
      </c>
      <c r="L425">
        <v>0</v>
      </c>
    </row>
    <row r="426" spans="1:12" x14ac:dyDescent="0.35">
      <c r="A426" t="s">
        <v>29</v>
      </c>
      <c r="B426" s="7">
        <v>43721.47997685185</v>
      </c>
      <c r="C426" t="s">
        <v>24</v>
      </c>
      <c r="D426" t="s">
        <v>25</v>
      </c>
      <c r="E426">
        <v>1</v>
      </c>
      <c r="F426" t="s">
        <v>505</v>
      </c>
      <c r="G426" t="s">
        <v>27</v>
      </c>
      <c r="H426">
        <v>1</v>
      </c>
      <c r="I426">
        <v>0</v>
      </c>
      <c r="J426">
        <v>0</v>
      </c>
      <c r="K426">
        <v>0</v>
      </c>
      <c r="L426">
        <v>0</v>
      </c>
    </row>
    <row r="427" spans="1:12" x14ac:dyDescent="0.35">
      <c r="A427" t="s">
        <v>30</v>
      </c>
      <c r="B427" s="7">
        <v>43721.480752314812</v>
      </c>
      <c r="C427" t="s">
        <v>24</v>
      </c>
      <c r="D427" t="s">
        <v>31</v>
      </c>
      <c r="E427">
        <v>1</v>
      </c>
      <c r="F427" t="s">
        <v>505</v>
      </c>
      <c r="G427" t="s">
        <v>27</v>
      </c>
      <c r="H427">
        <v>1</v>
      </c>
      <c r="I427">
        <v>0</v>
      </c>
      <c r="J427">
        <v>0</v>
      </c>
      <c r="K427">
        <v>0</v>
      </c>
      <c r="L427">
        <v>0</v>
      </c>
    </row>
    <row r="428" spans="1:12" x14ac:dyDescent="0.35">
      <c r="A428" t="s">
        <v>30</v>
      </c>
      <c r="B428" s="7">
        <v>43721.480752314812</v>
      </c>
      <c r="C428" t="s">
        <v>24</v>
      </c>
      <c r="D428" t="s">
        <v>32</v>
      </c>
      <c r="E428">
        <v>1</v>
      </c>
      <c r="F428" t="s">
        <v>505</v>
      </c>
      <c r="G428" t="s">
        <v>27</v>
      </c>
      <c r="H428">
        <v>1</v>
      </c>
      <c r="I428">
        <v>0</v>
      </c>
      <c r="J428">
        <v>0</v>
      </c>
      <c r="K428">
        <v>0</v>
      </c>
      <c r="L428">
        <v>0</v>
      </c>
    </row>
    <row r="429" spans="1:12" x14ac:dyDescent="0.35">
      <c r="A429" t="s">
        <v>33</v>
      </c>
      <c r="B429" s="7">
        <v>43721.480775462966</v>
      </c>
      <c r="C429" t="s">
        <v>24</v>
      </c>
      <c r="D429" t="s">
        <v>34</v>
      </c>
      <c r="E429">
        <v>1</v>
      </c>
      <c r="F429" t="s">
        <v>505</v>
      </c>
      <c r="G429" t="s">
        <v>27</v>
      </c>
      <c r="H429">
        <v>1</v>
      </c>
      <c r="I429">
        <v>0</v>
      </c>
      <c r="J429">
        <v>0</v>
      </c>
      <c r="K429">
        <v>0</v>
      </c>
      <c r="L429">
        <v>0</v>
      </c>
    </row>
    <row r="430" spans="1:12" x14ac:dyDescent="0.35">
      <c r="A430" t="s">
        <v>35</v>
      </c>
      <c r="B430" s="7">
        <v>43721.480787037035</v>
      </c>
      <c r="C430" t="s">
        <v>24</v>
      </c>
      <c r="D430" t="s">
        <v>25</v>
      </c>
      <c r="E430">
        <v>1</v>
      </c>
      <c r="F430" t="s">
        <v>505</v>
      </c>
      <c r="G430" t="s">
        <v>27</v>
      </c>
      <c r="H430">
        <v>1</v>
      </c>
      <c r="I430">
        <v>0</v>
      </c>
      <c r="J430">
        <v>0</v>
      </c>
      <c r="K430">
        <v>0</v>
      </c>
      <c r="L430">
        <v>0</v>
      </c>
    </row>
    <row r="431" spans="1:12" x14ac:dyDescent="0.35">
      <c r="A431" t="s">
        <v>36</v>
      </c>
      <c r="B431" s="7">
        <v>43721.481342592589</v>
      </c>
      <c r="C431" t="s">
        <v>24</v>
      </c>
      <c r="D431" t="s">
        <v>31</v>
      </c>
      <c r="E431">
        <v>1</v>
      </c>
      <c r="F431" t="s">
        <v>505</v>
      </c>
      <c r="G431" t="s">
        <v>27</v>
      </c>
      <c r="H431">
        <v>1</v>
      </c>
      <c r="I431">
        <v>0</v>
      </c>
      <c r="J431">
        <v>0</v>
      </c>
      <c r="K431">
        <v>0</v>
      </c>
      <c r="L431">
        <v>0</v>
      </c>
    </row>
    <row r="432" spans="1:12" x14ac:dyDescent="0.35">
      <c r="A432" t="s">
        <v>37</v>
      </c>
      <c r="B432" s="7">
        <v>43721.481365740743</v>
      </c>
      <c r="C432" t="s">
        <v>24</v>
      </c>
      <c r="D432" t="s">
        <v>32</v>
      </c>
      <c r="E432">
        <v>1</v>
      </c>
      <c r="F432" t="s">
        <v>505</v>
      </c>
      <c r="G432" t="s">
        <v>27</v>
      </c>
      <c r="H432">
        <v>1</v>
      </c>
      <c r="I432">
        <v>0</v>
      </c>
      <c r="J432">
        <v>0</v>
      </c>
      <c r="K432">
        <v>0</v>
      </c>
      <c r="L432">
        <v>0</v>
      </c>
    </row>
    <row r="433" spans="1:12" x14ac:dyDescent="0.35">
      <c r="A433" t="s">
        <v>37</v>
      </c>
      <c r="B433" s="7">
        <v>43721.481365740743</v>
      </c>
      <c r="C433" t="s">
        <v>24</v>
      </c>
      <c r="D433" t="s">
        <v>34</v>
      </c>
      <c r="E433">
        <v>1</v>
      </c>
      <c r="F433" t="s">
        <v>505</v>
      </c>
      <c r="G433" t="s">
        <v>27</v>
      </c>
      <c r="H433">
        <v>1</v>
      </c>
      <c r="I433">
        <v>0</v>
      </c>
      <c r="J433">
        <v>0</v>
      </c>
      <c r="K433">
        <v>0</v>
      </c>
      <c r="L433">
        <v>0</v>
      </c>
    </row>
    <row r="434" spans="1:12" x14ac:dyDescent="0.35">
      <c r="A434" t="s">
        <v>38</v>
      </c>
      <c r="B434" s="7">
        <v>43721.481377314813</v>
      </c>
      <c r="C434" t="s">
        <v>24</v>
      </c>
      <c r="D434" t="s">
        <v>25</v>
      </c>
      <c r="E434">
        <v>1</v>
      </c>
      <c r="F434" t="s">
        <v>505</v>
      </c>
      <c r="G434" t="s">
        <v>27</v>
      </c>
      <c r="H434">
        <v>1</v>
      </c>
      <c r="I434">
        <v>0</v>
      </c>
      <c r="J434">
        <v>0</v>
      </c>
      <c r="K434">
        <v>0</v>
      </c>
      <c r="L434">
        <v>0</v>
      </c>
    </row>
    <row r="435" spans="1:12" x14ac:dyDescent="0.35">
      <c r="A435" t="s">
        <v>39</v>
      </c>
      <c r="B435" s="7">
        <v>43721.48159722222</v>
      </c>
      <c r="C435" t="s">
        <v>24</v>
      </c>
      <c r="D435" t="s">
        <v>31</v>
      </c>
      <c r="E435">
        <v>1</v>
      </c>
      <c r="F435" t="s">
        <v>505</v>
      </c>
      <c r="G435" t="s">
        <v>27</v>
      </c>
      <c r="H435">
        <v>1</v>
      </c>
      <c r="I435">
        <v>0</v>
      </c>
      <c r="J435">
        <v>0</v>
      </c>
      <c r="K435">
        <v>0</v>
      </c>
      <c r="L435">
        <v>0</v>
      </c>
    </row>
    <row r="436" spans="1:12" x14ac:dyDescent="0.35">
      <c r="A436" t="s">
        <v>40</v>
      </c>
      <c r="B436" s="7">
        <v>43721.481620370374</v>
      </c>
      <c r="C436" t="s">
        <v>24</v>
      </c>
      <c r="D436" t="s">
        <v>25</v>
      </c>
      <c r="E436">
        <v>1</v>
      </c>
      <c r="F436" t="s">
        <v>505</v>
      </c>
      <c r="G436" t="s">
        <v>27</v>
      </c>
      <c r="H436">
        <v>1</v>
      </c>
      <c r="I436">
        <v>0</v>
      </c>
      <c r="J436">
        <v>0</v>
      </c>
      <c r="K436">
        <v>0</v>
      </c>
      <c r="L436">
        <v>0</v>
      </c>
    </row>
    <row r="437" spans="1:12" x14ac:dyDescent="0.35">
      <c r="A437" t="s">
        <v>41</v>
      </c>
      <c r="B437" s="7">
        <v>43721.491782407407</v>
      </c>
      <c r="C437" t="s">
        <v>24</v>
      </c>
      <c r="D437" t="s">
        <v>32</v>
      </c>
      <c r="E437">
        <v>1</v>
      </c>
      <c r="F437" t="s">
        <v>505</v>
      </c>
      <c r="G437" t="s">
        <v>27</v>
      </c>
      <c r="H437">
        <v>1</v>
      </c>
      <c r="I437">
        <v>0</v>
      </c>
      <c r="J437">
        <v>0</v>
      </c>
      <c r="K437">
        <v>0</v>
      </c>
      <c r="L437">
        <v>0</v>
      </c>
    </row>
    <row r="438" spans="1:12" x14ac:dyDescent="0.35">
      <c r="A438" t="s">
        <v>42</v>
      </c>
      <c r="B438" s="7">
        <v>43721.491805555554</v>
      </c>
      <c r="C438" t="s">
        <v>24</v>
      </c>
      <c r="D438" t="s">
        <v>31</v>
      </c>
      <c r="E438">
        <v>1</v>
      </c>
      <c r="F438" t="s">
        <v>505</v>
      </c>
      <c r="G438" t="s">
        <v>27</v>
      </c>
      <c r="H438">
        <v>1</v>
      </c>
      <c r="I438">
        <v>0</v>
      </c>
      <c r="J438">
        <v>0</v>
      </c>
      <c r="K438">
        <v>0</v>
      </c>
      <c r="L438">
        <v>0</v>
      </c>
    </row>
    <row r="439" spans="1:12" x14ac:dyDescent="0.35">
      <c r="A439" t="s">
        <v>43</v>
      </c>
      <c r="B439" s="7">
        <v>43721.49181712963</v>
      </c>
      <c r="C439" t="s">
        <v>24</v>
      </c>
      <c r="D439" t="s">
        <v>25</v>
      </c>
      <c r="E439">
        <v>1</v>
      </c>
      <c r="F439" t="s">
        <v>505</v>
      </c>
      <c r="G439" t="s">
        <v>27</v>
      </c>
      <c r="H439">
        <v>1</v>
      </c>
      <c r="I439">
        <v>0</v>
      </c>
      <c r="J439">
        <v>0</v>
      </c>
      <c r="K439">
        <v>0</v>
      </c>
      <c r="L439">
        <v>0</v>
      </c>
    </row>
    <row r="440" spans="1:12" x14ac:dyDescent="0.35">
      <c r="A440" t="s">
        <v>44</v>
      </c>
      <c r="B440" s="7">
        <v>43721.493055555555</v>
      </c>
      <c r="C440" t="s">
        <v>24</v>
      </c>
      <c r="D440" t="s">
        <v>32</v>
      </c>
      <c r="E440">
        <v>1</v>
      </c>
      <c r="F440" t="s">
        <v>505</v>
      </c>
      <c r="G440" t="s">
        <v>27</v>
      </c>
      <c r="H440">
        <v>1</v>
      </c>
      <c r="I440">
        <v>0</v>
      </c>
      <c r="J440">
        <v>0</v>
      </c>
      <c r="K440">
        <v>0</v>
      </c>
      <c r="L440">
        <v>0</v>
      </c>
    </row>
    <row r="441" spans="1:12" x14ac:dyDescent="0.35">
      <c r="A441" t="s">
        <v>45</v>
      </c>
      <c r="B441" s="7">
        <v>43721.493067129632</v>
      </c>
      <c r="C441" t="s">
        <v>24</v>
      </c>
      <c r="D441" t="s">
        <v>25</v>
      </c>
      <c r="E441">
        <v>1</v>
      </c>
      <c r="F441" t="s">
        <v>505</v>
      </c>
      <c r="G441" t="s">
        <v>27</v>
      </c>
      <c r="H441">
        <v>1</v>
      </c>
      <c r="I441">
        <v>0</v>
      </c>
      <c r="J441">
        <v>0</v>
      </c>
      <c r="K441">
        <v>0</v>
      </c>
      <c r="L441">
        <v>0</v>
      </c>
    </row>
    <row r="442" spans="1:12" x14ac:dyDescent="0.35">
      <c r="A442" t="s">
        <v>46</v>
      </c>
      <c r="B442" s="7">
        <v>43721.493391203701</v>
      </c>
      <c r="C442" t="s">
        <v>24</v>
      </c>
      <c r="D442" t="s">
        <v>47</v>
      </c>
      <c r="E442">
        <v>1</v>
      </c>
      <c r="F442" t="s">
        <v>505</v>
      </c>
      <c r="G442" t="s">
        <v>27</v>
      </c>
      <c r="H442">
        <v>1</v>
      </c>
      <c r="I442">
        <v>0</v>
      </c>
      <c r="J442">
        <v>0</v>
      </c>
      <c r="K442">
        <v>0</v>
      </c>
      <c r="L442">
        <v>0</v>
      </c>
    </row>
    <row r="443" spans="1:12" x14ac:dyDescent="0.35">
      <c r="A443" t="s">
        <v>48</v>
      </c>
      <c r="B443" s="7">
        <v>43721.493414351855</v>
      </c>
      <c r="C443" t="s">
        <v>24</v>
      </c>
      <c r="D443" t="s">
        <v>25</v>
      </c>
      <c r="E443">
        <v>1</v>
      </c>
      <c r="F443" t="s">
        <v>505</v>
      </c>
      <c r="G443" t="s">
        <v>27</v>
      </c>
      <c r="H443">
        <v>1</v>
      </c>
      <c r="I443">
        <v>0</v>
      </c>
      <c r="J443">
        <v>0</v>
      </c>
      <c r="K443">
        <v>0</v>
      </c>
      <c r="L443">
        <v>0</v>
      </c>
    </row>
    <row r="444" spans="1:12" x14ac:dyDescent="0.35">
      <c r="A444" t="s">
        <v>49</v>
      </c>
      <c r="B444" s="7">
        <v>43721.493437500001</v>
      </c>
      <c r="C444" t="s">
        <v>24</v>
      </c>
      <c r="D444" t="s">
        <v>47</v>
      </c>
      <c r="E444">
        <v>1</v>
      </c>
      <c r="F444" t="s">
        <v>505</v>
      </c>
      <c r="G444" t="s">
        <v>27</v>
      </c>
      <c r="H444">
        <v>1</v>
      </c>
      <c r="I444">
        <v>0</v>
      </c>
      <c r="J444">
        <v>0</v>
      </c>
      <c r="K444">
        <v>0</v>
      </c>
      <c r="L444">
        <v>0</v>
      </c>
    </row>
    <row r="445" spans="1:12" x14ac:dyDescent="0.35">
      <c r="A445" t="s">
        <v>50</v>
      </c>
      <c r="B445" s="7">
        <v>43721.493449074071</v>
      </c>
      <c r="C445" t="s">
        <v>24</v>
      </c>
      <c r="D445" t="s">
        <v>25</v>
      </c>
      <c r="E445">
        <v>1</v>
      </c>
      <c r="F445" t="s">
        <v>505</v>
      </c>
      <c r="G445" t="s">
        <v>27</v>
      </c>
      <c r="H445">
        <v>1</v>
      </c>
      <c r="I445">
        <v>0</v>
      </c>
      <c r="J445">
        <v>0</v>
      </c>
      <c r="K445">
        <v>0</v>
      </c>
      <c r="L445">
        <v>0</v>
      </c>
    </row>
    <row r="446" spans="1:12" x14ac:dyDescent="0.35">
      <c r="A446" t="s">
        <v>51</v>
      </c>
      <c r="B446" s="7">
        <v>43721.493495370371</v>
      </c>
      <c r="C446" t="s">
        <v>24</v>
      </c>
      <c r="D446" t="s">
        <v>47</v>
      </c>
      <c r="E446">
        <v>1</v>
      </c>
      <c r="F446" t="s">
        <v>505</v>
      </c>
      <c r="G446" t="s">
        <v>27</v>
      </c>
      <c r="H446">
        <v>1</v>
      </c>
      <c r="I446">
        <v>0</v>
      </c>
      <c r="J446">
        <v>0</v>
      </c>
      <c r="K446">
        <v>0</v>
      </c>
      <c r="L446">
        <v>0</v>
      </c>
    </row>
    <row r="447" spans="1:12" x14ac:dyDescent="0.35">
      <c r="A447" t="s">
        <v>52</v>
      </c>
      <c r="B447" s="7">
        <v>43721.494120370371</v>
      </c>
      <c r="C447" t="s">
        <v>53</v>
      </c>
      <c r="D447" t="s">
        <v>54</v>
      </c>
      <c r="E447">
        <v>1</v>
      </c>
      <c r="F447" t="s">
        <v>505</v>
      </c>
      <c r="G447" t="s">
        <v>27</v>
      </c>
      <c r="H447">
        <v>0</v>
      </c>
      <c r="I447">
        <v>0</v>
      </c>
      <c r="J447">
        <v>0</v>
      </c>
      <c r="K447">
        <v>0</v>
      </c>
      <c r="L447">
        <v>0</v>
      </c>
    </row>
    <row r="448" spans="1:12" x14ac:dyDescent="0.35">
      <c r="A448" t="s">
        <v>55</v>
      </c>
      <c r="B448" s="7">
        <v>43721.494120370371</v>
      </c>
      <c r="C448" t="s">
        <v>24</v>
      </c>
      <c r="D448" t="s">
        <v>54</v>
      </c>
      <c r="E448">
        <v>1</v>
      </c>
      <c r="F448" t="s">
        <v>505</v>
      </c>
      <c r="G448" t="s">
        <v>27</v>
      </c>
      <c r="H448">
        <v>1</v>
      </c>
      <c r="I448">
        <v>0</v>
      </c>
      <c r="J448">
        <v>0</v>
      </c>
      <c r="K448">
        <v>0</v>
      </c>
      <c r="L448">
        <v>0</v>
      </c>
    </row>
    <row r="449" spans="1:12" x14ac:dyDescent="0.35">
      <c r="A449" t="s">
        <v>56</v>
      </c>
      <c r="B449" s="7">
        <v>43721.494143518517</v>
      </c>
      <c r="C449" t="s">
        <v>24</v>
      </c>
      <c r="D449" t="s">
        <v>25</v>
      </c>
      <c r="E449">
        <v>1</v>
      </c>
      <c r="F449" t="s">
        <v>505</v>
      </c>
      <c r="G449" t="s">
        <v>27</v>
      </c>
      <c r="H449">
        <v>1</v>
      </c>
      <c r="I449">
        <v>0</v>
      </c>
      <c r="J449">
        <v>0</v>
      </c>
      <c r="K449">
        <v>0</v>
      </c>
      <c r="L449">
        <v>0</v>
      </c>
    </row>
    <row r="450" spans="1:12" x14ac:dyDescent="0.35">
      <c r="A450" t="s">
        <v>57</v>
      </c>
      <c r="B450" s="7">
        <v>43721.49423611111</v>
      </c>
      <c r="C450" t="s">
        <v>24</v>
      </c>
      <c r="D450" t="s">
        <v>54</v>
      </c>
      <c r="E450">
        <v>1</v>
      </c>
      <c r="F450" t="s">
        <v>505</v>
      </c>
      <c r="G450" t="s">
        <v>27</v>
      </c>
      <c r="H450">
        <v>1</v>
      </c>
      <c r="I450">
        <v>0</v>
      </c>
      <c r="J450">
        <v>0</v>
      </c>
      <c r="K450">
        <v>0</v>
      </c>
      <c r="L450">
        <v>0</v>
      </c>
    </row>
    <row r="451" spans="1:12" x14ac:dyDescent="0.35">
      <c r="A451" t="s">
        <v>58</v>
      </c>
      <c r="B451" s="7">
        <v>43721.494259259256</v>
      </c>
      <c r="C451" t="s">
        <v>24</v>
      </c>
      <c r="D451" t="s">
        <v>47</v>
      </c>
      <c r="E451">
        <v>1</v>
      </c>
      <c r="F451" t="s">
        <v>505</v>
      </c>
      <c r="G451" t="s">
        <v>27</v>
      </c>
      <c r="H451">
        <v>1</v>
      </c>
      <c r="I451">
        <v>0</v>
      </c>
      <c r="J451">
        <v>0</v>
      </c>
      <c r="K451">
        <v>0</v>
      </c>
      <c r="L451">
        <v>0</v>
      </c>
    </row>
    <row r="452" spans="1:12" x14ac:dyDescent="0.35">
      <c r="A452" t="s">
        <v>59</v>
      </c>
      <c r="B452" s="7">
        <v>43721.494305555556</v>
      </c>
      <c r="C452" t="s">
        <v>24</v>
      </c>
      <c r="D452" t="s">
        <v>54</v>
      </c>
      <c r="E452">
        <v>1</v>
      </c>
      <c r="F452" t="s">
        <v>505</v>
      </c>
      <c r="G452" t="s">
        <v>27</v>
      </c>
      <c r="H452">
        <v>1</v>
      </c>
      <c r="I452">
        <v>0</v>
      </c>
      <c r="J452">
        <v>0</v>
      </c>
      <c r="K452">
        <v>0</v>
      </c>
      <c r="L452">
        <v>0</v>
      </c>
    </row>
    <row r="453" spans="1:12" x14ac:dyDescent="0.35">
      <c r="A453" t="s">
        <v>60</v>
      </c>
      <c r="B453" s="7">
        <v>43721.494502314818</v>
      </c>
      <c r="C453" t="s">
        <v>24</v>
      </c>
      <c r="D453" t="s">
        <v>25</v>
      </c>
      <c r="E453">
        <v>1</v>
      </c>
      <c r="F453" t="s">
        <v>505</v>
      </c>
      <c r="G453" t="s">
        <v>27</v>
      </c>
      <c r="H453">
        <v>1</v>
      </c>
      <c r="I453">
        <v>0</v>
      </c>
      <c r="J453">
        <v>0</v>
      </c>
      <c r="K453">
        <v>0</v>
      </c>
      <c r="L453">
        <v>0</v>
      </c>
    </row>
    <row r="454" spans="1:12" x14ac:dyDescent="0.35">
      <c r="A454" t="s">
        <v>61</v>
      </c>
      <c r="B454" s="7">
        <v>43721.495034722226</v>
      </c>
      <c r="C454" t="s">
        <v>24</v>
      </c>
      <c r="D454" t="s">
        <v>62</v>
      </c>
      <c r="E454">
        <v>1</v>
      </c>
      <c r="F454" t="s">
        <v>505</v>
      </c>
      <c r="G454" t="s">
        <v>27</v>
      </c>
      <c r="H454">
        <v>1</v>
      </c>
      <c r="I454">
        <v>0</v>
      </c>
      <c r="J454">
        <v>0</v>
      </c>
      <c r="K454">
        <v>0</v>
      </c>
      <c r="L454">
        <v>0</v>
      </c>
    </row>
    <row r="455" spans="1:12" x14ac:dyDescent="0.35">
      <c r="A455" t="s">
        <v>67</v>
      </c>
      <c r="B455" s="7">
        <v>43721.495752314811</v>
      </c>
      <c r="C455" t="s">
        <v>24</v>
      </c>
      <c r="D455" t="s">
        <v>31</v>
      </c>
      <c r="E455">
        <v>1</v>
      </c>
      <c r="F455" t="s">
        <v>505</v>
      </c>
      <c r="G455" t="s">
        <v>27</v>
      </c>
      <c r="H455">
        <v>1</v>
      </c>
      <c r="I455">
        <v>0</v>
      </c>
      <c r="J455">
        <v>0</v>
      </c>
      <c r="K455">
        <v>0</v>
      </c>
      <c r="L455">
        <v>0</v>
      </c>
    </row>
    <row r="456" spans="1:12" x14ac:dyDescent="0.35">
      <c r="A456" t="s">
        <v>68</v>
      </c>
      <c r="B456" s="7">
        <v>43721.495763888888</v>
      </c>
      <c r="C456" t="s">
        <v>24</v>
      </c>
      <c r="D456" t="s">
        <v>25</v>
      </c>
      <c r="E456">
        <v>1</v>
      </c>
      <c r="F456" t="s">
        <v>505</v>
      </c>
      <c r="G456" t="s">
        <v>27</v>
      </c>
      <c r="H456">
        <v>1</v>
      </c>
      <c r="I456">
        <v>0</v>
      </c>
      <c r="J456">
        <v>0</v>
      </c>
      <c r="K456">
        <v>0</v>
      </c>
      <c r="L456">
        <v>0</v>
      </c>
    </row>
    <row r="457" spans="1:12" x14ac:dyDescent="0.35">
      <c r="A457" t="s">
        <v>69</v>
      </c>
      <c r="B457" s="7">
        <v>43721.496122685188</v>
      </c>
      <c r="C457" t="s">
        <v>24</v>
      </c>
      <c r="D457" t="s">
        <v>62</v>
      </c>
      <c r="E457">
        <v>1</v>
      </c>
      <c r="F457" t="s">
        <v>505</v>
      </c>
      <c r="G457" t="s">
        <v>27</v>
      </c>
      <c r="H457">
        <v>1</v>
      </c>
      <c r="I457">
        <v>0</v>
      </c>
      <c r="J457">
        <v>0</v>
      </c>
      <c r="K457">
        <v>0</v>
      </c>
      <c r="L457">
        <v>0</v>
      </c>
    </row>
    <row r="458" spans="1:12" x14ac:dyDescent="0.35">
      <c r="A458" t="s">
        <v>70</v>
      </c>
      <c r="B458" s="7">
        <v>43721.496550925927</v>
      </c>
      <c r="C458" t="s">
        <v>53</v>
      </c>
      <c r="D458" t="s">
        <v>71</v>
      </c>
      <c r="E458">
        <v>1</v>
      </c>
      <c r="F458" t="s">
        <v>505</v>
      </c>
      <c r="G458" t="s">
        <v>27</v>
      </c>
      <c r="H458">
        <v>0</v>
      </c>
      <c r="I458">
        <v>0</v>
      </c>
      <c r="J458">
        <v>0</v>
      </c>
      <c r="K458">
        <v>0</v>
      </c>
      <c r="L458">
        <v>0</v>
      </c>
    </row>
    <row r="459" spans="1:12" x14ac:dyDescent="0.35">
      <c r="A459" t="s">
        <v>72</v>
      </c>
      <c r="B459" s="7">
        <v>43721.496550925927</v>
      </c>
      <c r="C459" t="s">
        <v>24</v>
      </c>
      <c r="D459" t="s">
        <v>71</v>
      </c>
      <c r="E459">
        <v>1</v>
      </c>
      <c r="F459" t="s">
        <v>505</v>
      </c>
      <c r="G459" t="s">
        <v>27</v>
      </c>
      <c r="H459">
        <v>1</v>
      </c>
      <c r="I459">
        <v>0</v>
      </c>
      <c r="J459">
        <v>0</v>
      </c>
      <c r="K459">
        <v>0</v>
      </c>
      <c r="L459">
        <v>0</v>
      </c>
    </row>
    <row r="460" spans="1:12" x14ac:dyDescent="0.35">
      <c r="A460" t="s">
        <v>73</v>
      </c>
      <c r="B460" s="7">
        <v>43721.49664351852</v>
      </c>
      <c r="C460" t="s">
        <v>24</v>
      </c>
      <c r="D460" t="s">
        <v>25</v>
      </c>
      <c r="E460">
        <v>1</v>
      </c>
      <c r="F460" t="s">
        <v>505</v>
      </c>
      <c r="G460" t="s">
        <v>27</v>
      </c>
      <c r="H460">
        <v>1</v>
      </c>
      <c r="I460">
        <v>0</v>
      </c>
      <c r="J460">
        <v>0</v>
      </c>
      <c r="K460">
        <v>0</v>
      </c>
      <c r="L460">
        <v>0</v>
      </c>
    </row>
    <row r="461" spans="1:12" x14ac:dyDescent="0.35">
      <c r="A461" t="s">
        <v>74</v>
      </c>
      <c r="B461" s="7">
        <v>43721.496759259258</v>
      </c>
      <c r="C461" t="s">
        <v>24</v>
      </c>
      <c r="D461" t="s">
        <v>75</v>
      </c>
      <c r="E461">
        <v>1</v>
      </c>
      <c r="F461" t="s">
        <v>505</v>
      </c>
      <c r="G461" t="s">
        <v>27</v>
      </c>
      <c r="H461">
        <v>1</v>
      </c>
      <c r="I461">
        <v>0</v>
      </c>
      <c r="J461">
        <v>0</v>
      </c>
      <c r="K461">
        <v>0</v>
      </c>
      <c r="L461">
        <v>0</v>
      </c>
    </row>
    <row r="462" spans="1:12" x14ac:dyDescent="0.35">
      <c r="A462" t="s">
        <v>76</v>
      </c>
      <c r="B462" s="7">
        <v>43721.496782407405</v>
      </c>
      <c r="C462" t="s">
        <v>24</v>
      </c>
      <c r="D462" t="s">
        <v>25</v>
      </c>
      <c r="E462">
        <v>1</v>
      </c>
      <c r="F462" t="s">
        <v>505</v>
      </c>
      <c r="G462" t="s">
        <v>27</v>
      </c>
      <c r="H462">
        <v>1</v>
      </c>
      <c r="I462">
        <v>0</v>
      </c>
      <c r="J462">
        <v>0</v>
      </c>
      <c r="K462">
        <v>0</v>
      </c>
      <c r="L462">
        <v>0</v>
      </c>
    </row>
    <row r="463" spans="1:12" x14ac:dyDescent="0.35">
      <c r="A463" t="s">
        <v>77</v>
      </c>
      <c r="B463" s="7">
        <v>43721.49695601852</v>
      </c>
      <c r="C463" t="s">
        <v>24</v>
      </c>
      <c r="D463" t="s">
        <v>75</v>
      </c>
      <c r="E463">
        <v>1</v>
      </c>
      <c r="F463" t="s">
        <v>505</v>
      </c>
      <c r="G463" t="s">
        <v>27</v>
      </c>
      <c r="H463">
        <v>1</v>
      </c>
      <c r="I463">
        <v>0</v>
      </c>
      <c r="J463">
        <v>0</v>
      </c>
      <c r="K463">
        <v>0</v>
      </c>
      <c r="L463">
        <v>0</v>
      </c>
    </row>
    <row r="464" spans="1:12" x14ac:dyDescent="0.35">
      <c r="A464" t="s">
        <v>79</v>
      </c>
      <c r="B464" s="7">
        <v>43721.498194444444</v>
      </c>
      <c r="C464" t="s">
        <v>24</v>
      </c>
      <c r="D464" t="s">
        <v>25</v>
      </c>
      <c r="E464">
        <v>1</v>
      </c>
      <c r="F464" t="s">
        <v>505</v>
      </c>
      <c r="G464" t="s">
        <v>27</v>
      </c>
      <c r="H464">
        <v>1</v>
      </c>
      <c r="I464">
        <v>0</v>
      </c>
      <c r="J464">
        <v>0</v>
      </c>
      <c r="K464">
        <v>0</v>
      </c>
      <c r="L464">
        <v>0</v>
      </c>
    </row>
    <row r="465" spans="1:12" x14ac:dyDescent="0.35">
      <c r="A465" t="s">
        <v>80</v>
      </c>
      <c r="B465" s="7">
        <v>43721.498854166668</v>
      </c>
      <c r="C465" t="s">
        <v>24</v>
      </c>
      <c r="D465" t="s">
        <v>75</v>
      </c>
      <c r="E465">
        <v>1</v>
      </c>
      <c r="F465" t="s">
        <v>505</v>
      </c>
      <c r="G465" t="s">
        <v>27</v>
      </c>
      <c r="H465">
        <v>1</v>
      </c>
      <c r="I465">
        <v>0</v>
      </c>
      <c r="J465">
        <v>0</v>
      </c>
      <c r="K465">
        <v>0</v>
      </c>
      <c r="L465">
        <v>0</v>
      </c>
    </row>
    <row r="466" spans="1:12" x14ac:dyDescent="0.35">
      <c r="A466" t="s">
        <v>81</v>
      </c>
      <c r="B466" s="7">
        <v>43721.498935185184</v>
      </c>
      <c r="C466" t="s">
        <v>24</v>
      </c>
      <c r="D466" t="s">
        <v>62</v>
      </c>
      <c r="E466">
        <v>1</v>
      </c>
      <c r="F466" t="s">
        <v>505</v>
      </c>
      <c r="G466" t="s">
        <v>27</v>
      </c>
      <c r="H466">
        <v>1</v>
      </c>
      <c r="I466">
        <v>0</v>
      </c>
      <c r="J466">
        <v>0</v>
      </c>
      <c r="K466">
        <v>0</v>
      </c>
      <c r="L466">
        <v>0</v>
      </c>
    </row>
    <row r="467" spans="1:12" x14ac:dyDescent="0.35">
      <c r="A467" t="s">
        <v>81</v>
      </c>
      <c r="B467" s="7">
        <v>43721.498935185184</v>
      </c>
      <c r="C467" t="s">
        <v>24</v>
      </c>
      <c r="D467" t="s">
        <v>25</v>
      </c>
      <c r="E467">
        <v>1</v>
      </c>
      <c r="F467" t="s">
        <v>505</v>
      </c>
      <c r="G467" t="s">
        <v>27</v>
      </c>
      <c r="H467">
        <v>1</v>
      </c>
      <c r="I467">
        <v>0</v>
      </c>
      <c r="J467">
        <v>0</v>
      </c>
      <c r="K467">
        <v>0</v>
      </c>
      <c r="L467">
        <v>0</v>
      </c>
    </row>
    <row r="468" spans="1:12" x14ac:dyDescent="0.35">
      <c r="A468" t="s">
        <v>82</v>
      </c>
      <c r="B468" s="7">
        <v>43721.50104166667</v>
      </c>
      <c r="C468" t="s">
        <v>24</v>
      </c>
      <c r="D468" t="s">
        <v>34</v>
      </c>
      <c r="E468">
        <v>1</v>
      </c>
      <c r="F468" t="s">
        <v>505</v>
      </c>
      <c r="G468" t="s">
        <v>27</v>
      </c>
      <c r="H468">
        <v>1</v>
      </c>
      <c r="I468">
        <v>0</v>
      </c>
      <c r="J468">
        <v>0</v>
      </c>
      <c r="K468">
        <v>0</v>
      </c>
      <c r="L468">
        <v>0</v>
      </c>
    </row>
    <row r="469" spans="1:12" x14ac:dyDescent="0.35">
      <c r="A469" t="s">
        <v>360</v>
      </c>
      <c r="B469" s="7">
        <v>43721.551562499997</v>
      </c>
      <c r="C469" t="s">
        <v>24</v>
      </c>
      <c r="D469" t="s">
        <v>235</v>
      </c>
      <c r="E469">
        <v>1</v>
      </c>
      <c r="F469" t="s">
        <v>230</v>
      </c>
      <c r="G469" t="s">
        <v>231</v>
      </c>
      <c r="H469">
        <v>1</v>
      </c>
      <c r="I469">
        <v>0</v>
      </c>
      <c r="J469">
        <v>0</v>
      </c>
      <c r="K469">
        <v>0</v>
      </c>
      <c r="L469">
        <v>0</v>
      </c>
    </row>
    <row r="470" spans="1:12" x14ac:dyDescent="0.35">
      <c r="A470" t="s">
        <v>360</v>
      </c>
      <c r="B470" s="7">
        <v>43721.551562499997</v>
      </c>
      <c r="C470" t="s">
        <v>24</v>
      </c>
      <c r="D470" t="s">
        <v>235</v>
      </c>
      <c r="E470">
        <v>1</v>
      </c>
      <c r="F470" t="s">
        <v>230</v>
      </c>
      <c r="G470" t="s">
        <v>231</v>
      </c>
      <c r="H470">
        <v>1</v>
      </c>
      <c r="I470">
        <v>0</v>
      </c>
      <c r="J470">
        <v>0</v>
      </c>
      <c r="K470">
        <v>0</v>
      </c>
      <c r="L470">
        <v>0</v>
      </c>
    </row>
    <row r="471" spans="1:12" x14ac:dyDescent="0.35">
      <c r="A471" t="s">
        <v>361</v>
      </c>
      <c r="B471" s="7">
        <v>43721.551562499997</v>
      </c>
      <c r="C471" t="s">
        <v>228</v>
      </c>
      <c r="D471" t="s">
        <v>229</v>
      </c>
      <c r="E471">
        <v>1</v>
      </c>
      <c r="F471" t="s">
        <v>230</v>
      </c>
      <c r="G471" t="s">
        <v>231</v>
      </c>
      <c r="H471">
        <v>0</v>
      </c>
      <c r="I471">
        <v>1</v>
      </c>
      <c r="J471">
        <v>0</v>
      </c>
      <c r="K471">
        <v>0</v>
      </c>
      <c r="L471">
        <v>0</v>
      </c>
    </row>
    <row r="472" spans="1:12" x14ac:dyDescent="0.35">
      <c r="A472" t="s">
        <v>360</v>
      </c>
      <c r="B472" s="7">
        <v>43721.551562499997</v>
      </c>
      <c r="C472" t="s">
        <v>24</v>
      </c>
      <c r="D472" t="s">
        <v>229</v>
      </c>
      <c r="E472">
        <v>1</v>
      </c>
      <c r="F472" t="s">
        <v>249</v>
      </c>
      <c r="G472" t="s">
        <v>231</v>
      </c>
      <c r="H472">
        <v>1</v>
      </c>
      <c r="I472">
        <v>0</v>
      </c>
      <c r="J472">
        <v>0</v>
      </c>
      <c r="K472">
        <v>0</v>
      </c>
      <c r="L472">
        <v>0</v>
      </c>
    </row>
    <row r="473" spans="1:12" x14ac:dyDescent="0.35">
      <c r="A473" t="s">
        <v>361</v>
      </c>
      <c r="B473" s="7">
        <v>43721.551562499997</v>
      </c>
      <c r="C473" t="s">
        <v>228</v>
      </c>
      <c r="D473" t="s">
        <v>233</v>
      </c>
      <c r="E473">
        <v>1</v>
      </c>
      <c r="F473" t="s">
        <v>249</v>
      </c>
      <c r="G473" t="s">
        <v>231</v>
      </c>
      <c r="H473">
        <v>0</v>
      </c>
      <c r="I473">
        <v>1</v>
      </c>
      <c r="J473">
        <v>0</v>
      </c>
      <c r="K473">
        <v>0</v>
      </c>
      <c r="L473">
        <v>0</v>
      </c>
    </row>
    <row r="474" spans="1:12" x14ac:dyDescent="0.35">
      <c r="A474" t="s">
        <v>360</v>
      </c>
      <c r="B474" s="7">
        <v>43721.551562499997</v>
      </c>
      <c r="C474" t="s">
        <v>24</v>
      </c>
      <c r="D474" t="s">
        <v>238</v>
      </c>
      <c r="E474">
        <v>1</v>
      </c>
      <c r="F474" t="s">
        <v>249</v>
      </c>
      <c r="G474" t="s">
        <v>231</v>
      </c>
      <c r="H474">
        <v>1</v>
      </c>
      <c r="I474">
        <v>0</v>
      </c>
      <c r="J474">
        <v>0</v>
      </c>
      <c r="K474">
        <v>0</v>
      </c>
      <c r="L474">
        <v>0</v>
      </c>
    </row>
    <row r="475" spans="1:12" x14ac:dyDescent="0.35">
      <c r="A475" t="s">
        <v>362</v>
      </c>
      <c r="B475" s="7">
        <v>43721.551562499997</v>
      </c>
      <c r="C475" t="s">
        <v>108</v>
      </c>
      <c r="D475" t="s">
        <v>238</v>
      </c>
      <c r="E475">
        <v>1</v>
      </c>
      <c r="F475" t="s">
        <v>249</v>
      </c>
      <c r="G475" t="s">
        <v>231</v>
      </c>
      <c r="H475">
        <v>0</v>
      </c>
      <c r="I475">
        <v>0</v>
      </c>
      <c r="J475">
        <v>1</v>
      </c>
      <c r="K475">
        <v>0</v>
      </c>
      <c r="L475">
        <v>0</v>
      </c>
    </row>
    <row r="476" spans="1:12" x14ac:dyDescent="0.35">
      <c r="A476" t="s">
        <v>361</v>
      </c>
      <c r="B476" s="7">
        <v>43721.551562499997</v>
      </c>
      <c r="C476" t="s">
        <v>228</v>
      </c>
      <c r="D476" t="s">
        <v>238</v>
      </c>
      <c r="E476">
        <v>1</v>
      </c>
      <c r="F476" t="s">
        <v>249</v>
      </c>
      <c r="G476" t="s">
        <v>231</v>
      </c>
      <c r="H476">
        <v>0</v>
      </c>
      <c r="I476">
        <v>1</v>
      </c>
      <c r="J476">
        <v>0</v>
      </c>
      <c r="K476">
        <v>0</v>
      </c>
      <c r="L476">
        <v>0</v>
      </c>
    </row>
    <row r="477" spans="1:12" x14ac:dyDescent="0.35">
      <c r="A477" t="s">
        <v>360</v>
      </c>
      <c r="B477" s="7">
        <v>43721.551562499997</v>
      </c>
      <c r="C477" t="s">
        <v>24</v>
      </c>
      <c r="D477" t="s">
        <v>233</v>
      </c>
      <c r="E477">
        <v>1</v>
      </c>
      <c r="F477" t="s">
        <v>239</v>
      </c>
      <c r="G477" t="s">
        <v>237</v>
      </c>
      <c r="H477">
        <v>1</v>
      </c>
      <c r="I477">
        <v>0</v>
      </c>
      <c r="J477">
        <v>0</v>
      </c>
      <c r="K477">
        <v>0</v>
      </c>
      <c r="L477">
        <v>0</v>
      </c>
    </row>
    <row r="478" spans="1:12" x14ac:dyDescent="0.35">
      <c r="A478" t="s">
        <v>360</v>
      </c>
      <c r="B478" s="7">
        <v>43721.551562499997</v>
      </c>
      <c r="C478" t="s">
        <v>24</v>
      </c>
      <c r="D478" t="s">
        <v>229</v>
      </c>
      <c r="E478">
        <v>1</v>
      </c>
      <c r="F478" t="s">
        <v>239</v>
      </c>
      <c r="G478" t="s">
        <v>237</v>
      </c>
      <c r="H478">
        <v>1</v>
      </c>
      <c r="I478">
        <v>0</v>
      </c>
      <c r="J478">
        <v>0</v>
      </c>
      <c r="K478">
        <v>0</v>
      </c>
      <c r="L478">
        <v>0</v>
      </c>
    </row>
    <row r="479" spans="1:12" x14ac:dyDescent="0.35">
      <c r="A479" t="s">
        <v>360</v>
      </c>
      <c r="B479" s="7">
        <v>43721.551562499997</v>
      </c>
      <c r="C479" t="s">
        <v>24</v>
      </c>
      <c r="D479" t="s">
        <v>229</v>
      </c>
      <c r="E479">
        <v>1</v>
      </c>
      <c r="F479" t="s">
        <v>239</v>
      </c>
      <c r="G479" t="s">
        <v>237</v>
      </c>
      <c r="H479">
        <v>1</v>
      </c>
      <c r="I479">
        <v>0</v>
      </c>
      <c r="J479">
        <v>0</v>
      </c>
      <c r="K479">
        <v>0</v>
      </c>
      <c r="L479">
        <v>0</v>
      </c>
    </row>
    <row r="480" spans="1:12" x14ac:dyDescent="0.35">
      <c r="A480" t="s">
        <v>360</v>
      </c>
      <c r="B480" s="7">
        <v>43721.551562499997</v>
      </c>
      <c r="C480" t="s">
        <v>24</v>
      </c>
      <c r="D480" t="s">
        <v>31</v>
      </c>
      <c r="E480">
        <v>1</v>
      </c>
      <c r="F480" t="s">
        <v>239</v>
      </c>
      <c r="G480" t="s">
        <v>237</v>
      </c>
      <c r="H480">
        <v>1</v>
      </c>
      <c r="I480">
        <v>0</v>
      </c>
      <c r="J480">
        <v>0</v>
      </c>
      <c r="K480">
        <v>0</v>
      </c>
      <c r="L480">
        <v>0</v>
      </c>
    </row>
    <row r="481" spans="1:12" x14ac:dyDescent="0.35">
      <c r="A481" t="s">
        <v>360</v>
      </c>
      <c r="B481" s="7">
        <v>43721.551562499997</v>
      </c>
      <c r="C481" t="s">
        <v>24</v>
      </c>
      <c r="D481" t="s">
        <v>235</v>
      </c>
      <c r="E481">
        <v>1</v>
      </c>
      <c r="F481" t="s">
        <v>239</v>
      </c>
      <c r="G481" t="s">
        <v>237</v>
      </c>
      <c r="H481">
        <v>1</v>
      </c>
      <c r="I481">
        <v>0</v>
      </c>
      <c r="J481">
        <v>0</v>
      </c>
      <c r="K481">
        <v>0</v>
      </c>
      <c r="L481">
        <v>0</v>
      </c>
    </row>
    <row r="482" spans="1:12" x14ac:dyDescent="0.35">
      <c r="A482" t="s">
        <v>360</v>
      </c>
      <c r="B482" s="7">
        <v>43721.551562499997</v>
      </c>
      <c r="C482" t="s">
        <v>24</v>
      </c>
      <c r="D482" t="s">
        <v>238</v>
      </c>
      <c r="E482">
        <v>1</v>
      </c>
      <c r="F482" t="s">
        <v>240</v>
      </c>
      <c r="G482" t="s">
        <v>237</v>
      </c>
      <c r="H482">
        <v>1</v>
      </c>
      <c r="I482">
        <v>0</v>
      </c>
      <c r="J482">
        <v>0</v>
      </c>
      <c r="K482">
        <v>0</v>
      </c>
      <c r="L482">
        <v>0</v>
      </c>
    </row>
    <row r="483" spans="1:12" x14ac:dyDescent="0.35">
      <c r="A483" t="s">
        <v>361</v>
      </c>
      <c r="B483" s="7">
        <v>43721.551562499997</v>
      </c>
      <c r="C483" t="s">
        <v>228</v>
      </c>
      <c r="D483" t="s">
        <v>233</v>
      </c>
      <c r="E483">
        <v>1</v>
      </c>
      <c r="F483" t="s">
        <v>240</v>
      </c>
      <c r="G483" t="s">
        <v>237</v>
      </c>
      <c r="H483">
        <v>0</v>
      </c>
      <c r="I483">
        <v>1</v>
      </c>
      <c r="J483">
        <v>0</v>
      </c>
      <c r="K483">
        <v>0</v>
      </c>
      <c r="L483">
        <v>0</v>
      </c>
    </row>
    <row r="484" spans="1:12" x14ac:dyDescent="0.35">
      <c r="A484" t="s">
        <v>360</v>
      </c>
      <c r="B484" s="7">
        <v>43721.551562499997</v>
      </c>
      <c r="C484" t="s">
        <v>24</v>
      </c>
      <c r="D484" t="s">
        <v>235</v>
      </c>
      <c r="E484">
        <v>1</v>
      </c>
      <c r="F484" t="s">
        <v>240</v>
      </c>
      <c r="G484" t="s">
        <v>237</v>
      </c>
      <c r="H484">
        <v>1</v>
      </c>
      <c r="I484">
        <v>0</v>
      </c>
      <c r="J484">
        <v>0</v>
      </c>
      <c r="K484">
        <v>0</v>
      </c>
      <c r="L484">
        <v>0</v>
      </c>
    </row>
    <row r="485" spans="1:12" x14ac:dyDescent="0.35">
      <c r="A485" t="s">
        <v>363</v>
      </c>
      <c r="B485" s="7">
        <v>43722.551562499997</v>
      </c>
      <c r="C485" t="s">
        <v>228</v>
      </c>
      <c r="D485" t="s">
        <v>229</v>
      </c>
      <c r="E485">
        <v>1</v>
      </c>
      <c r="F485" t="s">
        <v>230</v>
      </c>
      <c r="G485" t="s">
        <v>231</v>
      </c>
      <c r="H485">
        <v>0</v>
      </c>
      <c r="I485">
        <v>1</v>
      </c>
      <c r="J485">
        <v>0</v>
      </c>
      <c r="K485">
        <v>0</v>
      </c>
      <c r="L485">
        <v>0</v>
      </c>
    </row>
    <row r="486" spans="1:12" x14ac:dyDescent="0.35">
      <c r="A486" t="s">
        <v>364</v>
      </c>
      <c r="B486" s="7">
        <v>43722.551562499997</v>
      </c>
      <c r="C486" t="s">
        <v>24</v>
      </c>
      <c r="D486" t="s">
        <v>233</v>
      </c>
      <c r="E486">
        <v>1</v>
      </c>
      <c r="F486" t="s">
        <v>249</v>
      </c>
      <c r="G486" t="s">
        <v>231</v>
      </c>
      <c r="H486">
        <v>1</v>
      </c>
      <c r="I486">
        <v>0</v>
      </c>
      <c r="J486">
        <v>0</v>
      </c>
      <c r="K486">
        <v>0</v>
      </c>
      <c r="L486">
        <v>0</v>
      </c>
    </row>
    <row r="487" spans="1:12" x14ac:dyDescent="0.35">
      <c r="A487" t="s">
        <v>364</v>
      </c>
      <c r="B487" s="7">
        <v>43722.551562499997</v>
      </c>
      <c r="C487" t="s">
        <v>24</v>
      </c>
      <c r="D487" t="s">
        <v>229</v>
      </c>
      <c r="E487">
        <v>1</v>
      </c>
      <c r="F487" t="s">
        <v>236</v>
      </c>
      <c r="G487" t="s">
        <v>237</v>
      </c>
      <c r="H487">
        <v>1</v>
      </c>
      <c r="I487">
        <v>0</v>
      </c>
      <c r="J487">
        <v>0</v>
      </c>
      <c r="K487">
        <v>0</v>
      </c>
      <c r="L487">
        <v>0</v>
      </c>
    </row>
    <row r="488" spans="1:12" x14ac:dyDescent="0.35">
      <c r="A488" t="s">
        <v>364</v>
      </c>
      <c r="B488" s="7">
        <v>43722.551562499997</v>
      </c>
      <c r="C488" t="s">
        <v>24</v>
      </c>
      <c r="D488" t="s">
        <v>233</v>
      </c>
      <c r="E488">
        <v>1</v>
      </c>
      <c r="F488" t="s">
        <v>239</v>
      </c>
      <c r="G488" t="s">
        <v>237</v>
      </c>
      <c r="H488">
        <v>1</v>
      </c>
      <c r="I488">
        <v>0</v>
      </c>
      <c r="J488">
        <v>0</v>
      </c>
      <c r="K488">
        <v>0</v>
      </c>
      <c r="L488">
        <v>0</v>
      </c>
    </row>
    <row r="489" spans="1:12" x14ac:dyDescent="0.35">
      <c r="A489" t="s">
        <v>363</v>
      </c>
      <c r="B489" s="7">
        <v>43722.551562499997</v>
      </c>
      <c r="C489" t="s">
        <v>228</v>
      </c>
      <c r="D489" t="s">
        <v>31</v>
      </c>
      <c r="E489">
        <v>1</v>
      </c>
      <c r="F489" t="s">
        <v>239</v>
      </c>
      <c r="G489" t="s">
        <v>237</v>
      </c>
      <c r="H489">
        <v>0</v>
      </c>
      <c r="I489">
        <v>1</v>
      </c>
      <c r="J489">
        <v>0</v>
      </c>
      <c r="K489">
        <v>0</v>
      </c>
      <c r="L489">
        <v>0</v>
      </c>
    </row>
    <row r="490" spans="1:12" x14ac:dyDescent="0.35">
      <c r="A490" t="s">
        <v>363</v>
      </c>
      <c r="B490" s="7">
        <v>43722.551562499997</v>
      </c>
      <c r="C490" t="s">
        <v>228</v>
      </c>
      <c r="D490" t="s">
        <v>238</v>
      </c>
      <c r="E490">
        <v>1</v>
      </c>
      <c r="F490" t="s">
        <v>239</v>
      </c>
      <c r="G490" t="s">
        <v>237</v>
      </c>
      <c r="H490">
        <v>0</v>
      </c>
      <c r="I490">
        <v>1</v>
      </c>
      <c r="J490">
        <v>0</v>
      </c>
      <c r="K490">
        <v>0</v>
      </c>
      <c r="L490">
        <v>0</v>
      </c>
    </row>
    <row r="491" spans="1:12" x14ac:dyDescent="0.35">
      <c r="A491" t="s">
        <v>364</v>
      </c>
      <c r="B491" s="7">
        <v>43722.551562499997</v>
      </c>
      <c r="C491" t="s">
        <v>24</v>
      </c>
      <c r="D491" t="s">
        <v>229</v>
      </c>
      <c r="E491">
        <v>1</v>
      </c>
      <c r="F491" t="s">
        <v>240</v>
      </c>
      <c r="G491" t="s">
        <v>237</v>
      </c>
      <c r="H491">
        <v>1</v>
      </c>
      <c r="I491">
        <v>0</v>
      </c>
      <c r="J491">
        <v>0</v>
      </c>
      <c r="K491">
        <v>0</v>
      </c>
      <c r="L491">
        <v>0</v>
      </c>
    </row>
    <row r="492" spans="1:12" x14ac:dyDescent="0.35">
      <c r="A492" t="s">
        <v>365</v>
      </c>
      <c r="B492" s="7">
        <v>43722.551562499997</v>
      </c>
      <c r="C492" t="s">
        <v>108</v>
      </c>
      <c r="D492" t="s">
        <v>31</v>
      </c>
      <c r="E492">
        <v>1</v>
      </c>
      <c r="F492" t="s">
        <v>240</v>
      </c>
      <c r="G492" t="s">
        <v>237</v>
      </c>
      <c r="H492">
        <v>0</v>
      </c>
      <c r="I492">
        <v>0</v>
      </c>
      <c r="J492">
        <v>1</v>
      </c>
      <c r="K492">
        <v>0</v>
      </c>
      <c r="L492">
        <v>0</v>
      </c>
    </row>
    <row r="493" spans="1:12" x14ac:dyDescent="0.35">
      <c r="A493" t="s">
        <v>364</v>
      </c>
      <c r="B493" s="7">
        <v>43722.551562499997</v>
      </c>
      <c r="C493" t="s">
        <v>24</v>
      </c>
      <c r="D493" t="s">
        <v>238</v>
      </c>
      <c r="E493">
        <v>1</v>
      </c>
      <c r="F493" t="s">
        <v>242</v>
      </c>
      <c r="G493" t="s">
        <v>231</v>
      </c>
      <c r="H493">
        <v>1</v>
      </c>
      <c r="I493">
        <v>0</v>
      </c>
      <c r="J493">
        <v>0</v>
      </c>
      <c r="K493">
        <v>0</v>
      </c>
      <c r="L493">
        <v>0</v>
      </c>
    </row>
    <row r="494" spans="1:12" x14ac:dyDescent="0.35">
      <c r="A494" t="s">
        <v>364</v>
      </c>
      <c r="B494" s="7">
        <v>43722.551562499997</v>
      </c>
      <c r="C494" t="s">
        <v>24</v>
      </c>
      <c r="D494" t="s">
        <v>229</v>
      </c>
      <c r="E494">
        <v>1</v>
      </c>
      <c r="F494" t="s">
        <v>242</v>
      </c>
      <c r="G494" t="s">
        <v>231</v>
      </c>
      <c r="H494">
        <v>1</v>
      </c>
      <c r="I494">
        <v>0</v>
      </c>
      <c r="J494">
        <v>0</v>
      </c>
      <c r="K494">
        <v>0</v>
      </c>
      <c r="L494">
        <v>0</v>
      </c>
    </row>
    <row r="495" spans="1:12" x14ac:dyDescent="0.35">
      <c r="A495" t="s">
        <v>364</v>
      </c>
      <c r="B495" s="7">
        <v>43722.551562499997</v>
      </c>
      <c r="C495" t="s">
        <v>24</v>
      </c>
      <c r="D495" t="s">
        <v>31</v>
      </c>
      <c r="E495">
        <v>1</v>
      </c>
      <c r="F495" t="s">
        <v>242</v>
      </c>
      <c r="G495" t="s">
        <v>231</v>
      </c>
      <c r="H495">
        <v>1</v>
      </c>
      <c r="I495">
        <v>0</v>
      </c>
      <c r="J495">
        <v>0</v>
      </c>
      <c r="K495">
        <v>0</v>
      </c>
      <c r="L495">
        <v>0</v>
      </c>
    </row>
    <row r="496" spans="1:12" x14ac:dyDescent="0.35">
      <c r="A496" t="s">
        <v>366</v>
      </c>
      <c r="B496" s="7">
        <v>43723.551562499997</v>
      </c>
      <c r="C496" t="s">
        <v>228</v>
      </c>
      <c r="D496" t="s">
        <v>238</v>
      </c>
      <c r="E496">
        <v>1</v>
      </c>
      <c r="F496" t="s">
        <v>230</v>
      </c>
      <c r="G496" t="s">
        <v>231</v>
      </c>
      <c r="H496">
        <v>0</v>
      </c>
      <c r="I496">
        <v>1</v>
      </c>
      <c r="J496">
        <v>0</v>
      </c>
      <c r="K496">
        <v>0</v>
      </c>
      <c r="L496">
        <v>0</v>
      </c>
    </row>
    <row r="497" spans="1:12" x14ac:dyDescent="0.35">
      <c r="A497" t="s">
        <v>367</v>
      </c>
      <c r="B497" s="7">
        <v>43723.551562499997</v>
      </c>
      <c r="C497" t="s">
        <v>24</v>
      </c>
      <c r="D497" t="s">
        <v>229</v>
      </c>
      <c r="E497">
        <v>1</v>
      </c>
      <c r="F497" t="s">
        <v>230</v>
      </c>
      <c r="G497" t="s">
        <v>231</v>
      </c>
      <c r="H497">
        <v>1</v>
      </c>
      <c r="I497">
        <v>0</v>
      </c>
      <c r="J497">
        <v>0</v>
      </c>
      <c r="K497">
        <v>0</v>
      </c>
      <c r="L497">
        <v>0</v>
      </c>
    </row>
    <row r="498" spans="1:12" x14ac:dyDescent="0.35">
      <c r="A498" t="s">
        <v>367</v>
      </c>
      <c r="B498" s="7">
        <v>43723.551562499997</v>
      </c>
      <c r="C498" t="s">
        <v>24</v>
      </c>
      <c r="D498" t="s">
        <v>233</v>
      </c>
      <c r="E498">
        <v>1</v>
      </c>
      <c r="F498" t="s">
        <v>236</v>
      </c>
      <c r="G498" t="s">
        <v>237</v>
      </c>
      <c r="H498">
        <v>1</v>
      </c>
      <c r="I498">
        <v>0</v>
      </c>
      <c r="J498">
        <v>0</v>
      </c>
      <c r="K498">
        <v>0</v>
      </c>
      <c r="L498">
        <v>0</v>
      </c>
    </row>
    <row r="499" spans="1:12" x14ac:dyDescent="0.35">
      <c r="A499" t="s">
        <v>367</v>
      </c>
      <c r="B499" s="7">
        <v>43723.551562499997</v>
      </c>
      <c r="C499" t="s">
        <v>24</v>
      </c>
      <c r="D499" t="s">
        <v>238</v>
      </c>
      <c r="E499">
        <v>1</v>
      </c>
      <c r="F499" t="s">
        <v>239</v>
      </c>
      <c r="G499" t="s">
        <v>237</v>
      </c>
      <c r="H499">
        <v>1</v>
      </c>
      <c r="I499">
        <v>0</v>
      </c>
      <c r="J499">
        <v>0</v>
      </c>
      <c r="K499">
        <v>0</v>
      </c>
      <c r="L499">
        <v>0</v>
      </c>
    </row>
    <row r="500" spans="1:12" x14ac:dyDescent="0.35">
      <c r="A500" t="s">
        <v>367</v>
      </c>
      <c r="B500" s="7">
        <v>43723.551562499997</v>
      </c>
      <c r="C500" t="s">
        <v>24</v>
      </c>
      <c r="D500" t="s">
        <v>34</v>
      </c>
      <c r="E500">
        <v>1</v>
      </c>
      <c r="F500" t="s">
        <v>239</v>
      </c>
      <c r="G500" t="s">
        <v>237</v>
      </c>
      <c r="H500">
        <v>1</v>
      </c>
      <c r="I500">
        <v>0</v>
      </c>
      <c r="J500">
        <v>0</v>
      </c>
      <c r="K500">
        <v>0</v>
      </c>
      <c r="L500">
        <v>0</v>
      </c>
    </row>
    <row r="501" spans="1:12" x14ac:dyDescent="0.35">
      <c r="A501" t="s">
        <v>367</v>
      </c>
      <c r="B501" s="7">
        <v>43723.551562499997</v>
      </c>
      <c r="C501" t="s">
        <v>24</v>
      </c>
      <c r="D501" t="s">
        <v>31</v>
      </c>
      <c r="E501">
        <v>1</v>
      </c>
      <c r="F501" t="s">
        <v>239</v>
      </c>
      <c r="G501" t="s">
        <v>237</v>
      </c>
      <c r="H501">
        <v>1</v>
      </c>
      <c r="I501">
        <v>0</v>
      </c>
      <c r="J501">
        <v>0</v>
      </c>
      <c r="K501">
        <v>0</v>
      </c>
      <c r="L501">
        <v>0</v>
      </c>
    </row>
    <row r="502" spans="1:12" x14ac:dyDescent="0.35">
      <c r="A502" t="s">
        <v>366</v>
      </c>
      <c r="B502" s="7">
        <v>43723.551562499997</v>
      </c>
      <c r="C502" t="s">
        <v>228</v>
      </c>
      <c r="D502" t="s">
        <v>235</v>
      </c>
      <c r="E502">
        <v>1</v>
      </c>
      <c r="F502" t="s">
        <v>240</v>
      </c>
      <c r="G502" t="s">
        <v>237</v>
      </c>
      <c r="H502">
        <v>0</v>
      </c>
      <c r="I502">
        <v>1</v>
      </c>
      <c r="J502">
        <v>0</v>
      </c>
      <c r="K502">
        <v>0</v>
      </c>
      <c r="L502">
        <v>0</v>
      </c>
    </row>
    <row r="503" spans="1:12" x14ac:dyDescent="0.35">
      <c r="A503" t="s">
        <v>368</v>
      </c>
      <c r="B503" s="7">
        <v>43724.551562499997</v>
      </c>
      <c r="C503" t="s">
        <v>24</v>
      </c>
      <c r="D503" t="s">
        <v>34</v>
      </c>
      <c r="E503">
        <v>1</v>
      </c>
      <c r="F503" t="s">
        <v>230</v>
      </c>
      <c r="G503" t="s">
        <v>231</v>
      </c>
      <c r="H503">
        <v>1</v>
      </c>
      <c r="I503">
        <v>0</v>
      </c>
      <c r="J503">
        <v>0</v>
      </c>
      <c r="K503">
        <v>0</v>
      </c>
      <c r="L503">
        <v>0</v>
      </c>
    </row>
    <row r="504" spans="1:12" x14ac:dyDescent="0.35">
      <c r="A504" t="s">
        <v>369</v>
      </c>
      <c r="B504" s="7">
        <v>43724.551562499997</v>
      </c>
      <c r="C504" t="s">
        <v>108</v>
      </c>
      <c r="D504" t="s">
        <v>233</v>
      </c>
      <c r="E504">
        <v>1</v>
      </c>
      <c r="F504" t="s">
        <v>249</v>
      </c>
      <c r="G504" t="s">
        <v>231</v>
      </c>
      <c r="H504">
        <v>0</v>
      </c>
      <c r="I504">
        <v>0</v>
      </c>
      <c r="J504">
        <v>1</v>
      </c>
      <c r="K504">
        <v>0</v>
      </c>
      <c r="L504">
        <v>0</v>
      </c>
    </row>
    <row r="505" spans="1:12" x14ac:dyDescent="0.35">
      <c r="A505" t="s">
        <v>368</v>
      </c>
      <c r="B505" s="7">
        <v>43724.551562499997</v>
      </c>
      <c r="C505" t="s">
        <v>24</v>
      </c>
      <c r="D505" t="s">
        <v>235</v>
      </c>
      <c r="E505">
        <v>1</v>
      </c>
      <c r="F505" t="s">
        <v>249</v>
      </c>
      <c r="G505" t="s">
        <v>231</v>
      </c>
      <c r="H505">
        <v>1</v>
      </c>
      <c r="I505">
        <v>0</v>
      </c>
      <c r="J505">
        <v>0</v>
      </c>
      <c r="K505">
        <v>0</v>
      </c>
      <c r="L505">
        <v>0</v>
      </c>
    </row>
    <row r="506" spans="1:12" x14ac:dyDescent="0.35">
      <c r="A506" t="s">
        <v>368</v>
      </c>
      <c r="B506" s="7">
        <v>43724.551562499997</v>
      </c>
      <c r="C506" t="s">
        <v>24</v>
      </c>
      <c r="D506" t="s">
        <v>235</v>
      </c>
      <c r="E506">
        <v>1</v>
      </c>
      <c r="F506" t="s">
        <v>236</v>
      </c>
      <c r="G506" t="s">
        <v>237</v>
      </c>
      <c r="H506">
        <v>1</v>
      </c>
      <c r="I506">
        <v>0</v>
      </c>
      <c r="J506">
        <v>0</v>
      </c>
      <c r="K506">
        <v>0</v>
      </c>
      <c r="L506">
        <v>0</v>
      </c>
    </row>
    <row r="507" spans="1:12" x14ac:dyDescent="0.35">
      <c r="A507" t="s">
        <v>368</v>
      </c>
      <c r="B507" s="7">
        <v>43724.551562499997</v>
      </c>
      <c r="C507" t="s">
        <v>24</v>
      </c>
      <c r="D507" t="s">
        <v>34</v>
      </c>
      <c r="E507">
        <v>1</v>
      </c>
      <c r="F507" t="s">
        <v>236</v>
      </c>
      <c r="G507" t="s">
        <v>237</v>
      </c>
      <c r="H507">
        <v>1</v>
      </c>
      <c r="I507">
        <v>0</v>
      </c>
      <c r="J507">
        <v>0</v>
      </c>
      <c r="K507">
        <v>0</v>
      </c>
      <c r="L507">
        <v>0</v>
      </c>
    </row>
    <row r="508" spans="1:12" x14ac:dyDescent="0.35">
      <c r="A508" t="s">
        <v>368</v>
      </c>
      <c r="B508" s="7">
        <v>43724.551562499997</v>
      </c>
      <c r="C508" t="s">
        <v>24</v>
      </c>
      <c r="D508" t="s">
        <v>233</v>
      </c>
      <c r="E508">
        <v>1</v>
      </c>
      <c r="F508" t="s">
        <v>236</v>
      </c>
      <c r="G508" t="s">
        <v>237</v>
      </c>
      <c r="H508">
        <v>1</v>
      </c>
      <c r="I508">
        <v>0</v>
      </c>
      <c r="J508">
        <v>0</v>
      </c>
      <c r="K508">
        <v>0</v>
      </c>
      <c r="L508">
        <v>0</v>
      </c>
    </row>
    <row r="509" spans="1:12" x14ac:dyDescent="0.35">
      <c r="A509" t="s">
        <v>368</v>
      </c>
      <c r="B509" s="7">
        <v>43724.551562499997</v>
      </c>
      <c r="C509" t="s">
        <v>24</v>
      </c>
      <c r="D509" t="s">
        <v>235</v>
      </c>
      <c r="E509">
        <v>1</v>
      </c>
      <c r="F509" t="s">
        <v>236</v>
      </c>
      <c r="G509" t="s">
        <v>237</v>
      </c>
      <c r="H509">
        <v>1</v>
      </c>
      <c r="I509">
        <v>0</v>
      </c>
      <c r="J509">
        <v>0</v>
      </c>
      <c r="K509">
        <v>0</v>
      </c>
      <c r="L509">
        <v>0</v>
      </c>
    </row>
    <row r="510" spans="1:12" x14ac:dyDescent="0.35">
      <c r="A510" t="s">
        <v>368</v>
      </c>
      <c r="B510" s="7">
        <v>43724.551562499997</v>
      </c>
      <c r="C510" t="s">
        <v>24</v>
      </c>
      <c r="D510" t="s">
        <v>238</v>
      </c>
      <c r="E510">
        <v>1</v>
      </c>
      <c r="F510" t="s">
        <v>239</v>
      </c>
      <c r="G510" t="s">
        <v>237</v>
      </c>
      <c r="H510">
        <v>1</v>
      </c>
      <c r="I510">
        <v>0</v>
      </c>
      <c r="J510">
        <v>0</v>
      </c>
      <c r="K510">
        <v>0</v>
      </c>
      <c r="L510">
        <v>0</v>
      </c>
    </row>
    <row r="511" spans="1:12" x14ac:dyDescent="0.35">
      <c r="A511" t="s">
        <v>370</v>
      </c>
      <c r="B511" s="7">
        <v>43724.551562499997</v>
      </c>
      <c r="C511" t="s">
        <v>85</v>
      </c>
      <c r="D511" t="s">
        <v>229</v>
      </c>
      <c r="E511">
        <v>1</v>
      </c>
      <c r="F511" t="s">
        <v>240</v>
      </c>
      <c r="G511" t="s">
        <v>237</v>
      </c>
      <c r="H511">
        <v>0</v>
      </c>
      <c r="I511">
        <v>0</v>
      </c>
      <c r="J511">
        <v>0</v>
      </c>
      <c r="K511">
        <v>1</v>
      </c>
      <c r="L511">
        <v>0</v>
      </c>
    </row>
    <row r="512" spans="1:12" x14ac:dyDescent="0.35">
      <c r="A512" t="s">
        <v>368</v>
      </c>
      <c r="B512" s="7">
        <v>43724.551562499997</v>
      </c>
      <c r="C512" t="s">
        <v>24</v>
      </c>
      <c r="D512" t="s">
        <v>31</v>
      </c>
      <c r="E512">
        <v>1</v>
      </c>
      <c r="F512" t="s">
        <v>240</v>
      </c>
      <c r="G512" t="s">
        <v>237</v>
      </c>
      <c r="H512">
        <v>1</v>
      </c>
      <c r="I512">
        <v>0</v>
      </c>
      <c r="J512">
        <v>0</v>
      </c>
      <c r="K512">
        <v>0</v>
      </c>
      <c r="L512">
        <v>0</v>
      </c>
    </row>
    <row r="513" spans="1:12" x14ac:dyDescent="0.35">
      <c r="A513" t="s">
        <v>371</v>
      </c>
      <c r="B513" s="7">
        <v>43725.551562499997</v>
      </c>
      <c r="C513" t="s">
        <v>24</v>
      </c>
      <c r="D513" t="s">
        <v>235</v>
      </c>
      <c r="E513">
        <v>1</v>
      </c>
      <c r="F513" t="s">
        <v>230</v>
      </c>
      <c r="G513" t="s">
        <v>231</v>
      </c>
      <c r="H513">
        <v>1</v>
      </c>
      <c r="I513">
        <v>0</v>
      </c>
      <c r="J513">
        <v>0</v>
      </c>
      <c r="K513">
        <v>0</v>
      </c>
      <c r="L513">
        <v>0</v>
      </c>
    </row>
    <row r="514" spans="1:12" x14ac:dyDescent="0.35">
      <c r="A514" t="s">
        <v>371</v>
      </c>
      <c r="B514" s="7">
        <v>43725.551562499997</v>
      </c>
      <c r="C514" t="s">
        <v>24</v>
      </c>
      <c r="D514" t="s">
        <v>233</v>
      </c>
      <c r="E514">
        <v>1</v>
      </c>
      <c r="F514" t="s">
        <v>230</v>
      </c>
      <c r="G514" t="s">
        <v>231</v>
      </c>
      <c r="H514">
        <v>1</v>
      </c>
      <c r="I514">
        <v>0</v>
      </c>
      <c r="J514">
        <v>0</v>
      </c>
      <c r="K514">
        <v>0</v>
      </c>
      <c r="L514">
        <v>0</v>
      </c>
    </row>
    <row r="515" spans="1:12" x14ac:dyDescent="0.35">
      <c r="A515" t="s">
        <v>372</v>
      </c>
      <c r="B515" s="7">
        <v>43725.551562499997</v>
      </c>
      <c r="C515" t="s">
        <v>108</v>
      </c>
      <c r="D515" t="s">
        <v>235</v>
      </c>
      <c r="E515">
        <v>1</v>
      </c>
      <c r="F515" t="s">
        <v>230</v>
      </c>
      <c r="G515" t="s">
        <v>231</v>
      </c>
      <c r="H515">
        <v>0</v>
      </c>
      <c r="I515">
        <v>0</v>
      </c>
      <c r="J515">
        <v>1</v>
      </c>
      <c r="K515">
        <v>0</v>
      </c>
      <c r="L515">
        <v>0</v>
      </c>
    </row>
    <row r="516" spans="1:12" x14ac:dyDescent="0.35">
      <c r="A516" t="s">
        <v>371</v>
      </c>
      <c r="B516" s="7">
        <v>43725.551562499997</v>
      </c>
      <c r="C516" t="s">
        <v>24</v>
      </c>
      <c r="D516" t="s">
        <v>238</v>
      </c>
      <c r="E516">
        <v>1</v>
      </c>
      <c r="F516" t="s">
        <v>249</v>
      </c>
      <c r="G516" t="s">
        <v>231</v>
      </c>
      <c r="H516">
        <v>1</v>
      </c>
      <c r="I516">
        <v>0</v>
      </c>
      <c r="J516">
        <v>0</v>
      </c>
      <c r="K516">
        <v>0</v>
      </c>
      <c r="L516">
        <v>0</v>
      </c>
    </row>
    <row r="517" spans="1:12" x14ac:dyDescent="0.35">
      <c r="A517" t="s">
        <v>371</v>
      </c>
      <c r="B517" s="7">
        <v>43725.551562499997</v>
      </c>
      <c r="C517" t="s">
        <v>24</v>
      </c>
      <c r="D517" t="s">
        <v>229</v>
      </c>
      <c r="E517">
        <v>1</v>
      </c>
      <c r="F517" t="s">
        <v>236</v>
      </c>
      <c r="G517" t="s">
        <v>237</v>
      </c>
      <c r="H517">
        <v>1</v>
      </c>
      <c r="I517">
        <v>0</v>
      </c>
      <c r="J517">
        <v>0</v>
      </c>
      <c r="K517">
        <v>0</v>
      </c>
      <c r="L517">
        <v>0</v>
      </c>
    </row>
    <row r="518" spans="1:12" x14ac:dyDescent="0.35">
      <c r="A518" t="s">
        <v>371</v>
      </c>
      <c r="B518" s="7">
        <v>43725.551562499997</v>
      </c>
      <c r="C518" t="s">
        <v>24</v>
      </c>
      <c r="D518" t="s">
        <v>229</v>
      </c>
      <c r="E518">
        <v>1</v>
      </c>
      <c r="F518" t="s">
        <v>239</v>
      </c>
      <c r="G518" t="s">
        <v>237</v>
      </c>
      <c r="H518">
        <v>1</v>
      </c>
      <c r="I518">
        <v>0</v>
      </c>
      <c r="J518">
        <v>0</v>
      </c>
      <c r="K518">
        <v>0</v>
      </c>
      <c r="L518">
        <v>0</v>
      </c>
    </row>
    <row r="519" spans="1:12" x14ac:dyDescent="0.35">
      <c r="A519" t="s">
        <v>371</v>
      </c>
      <c r="B519" s="7">
        <v>43725.551562499997</v>
      </c>
      <c r="C519" t="s">
        <v>24</v>
      </c>
      <c r="D519" t="s">
        <v>238</v>
      </c>
      <c r="E519">
        <v>1</v>
      </c>
      <c r="F519" t="s">
        <v>239</v>
      </c>
      <c r="G519" t="s">
        <v>237</v>
      </c>
      <c r="H519">
        <v>1</v>
      </c>
      <c r="I519">
        <v>0</v>
      </c>
      <c r="J519">
        <v>0</v>
      </c>
      <c r="K519">
        <v>0</v>
      </c>
      <c r="L519">
        <v>0</v>
      </c>
    </row>
    <row r="520" spans="1:12" x14ac:dyDescent="0.35">
      <c r="A520" t="s">
        <v>371</v>
      </c>
      <c r="B520" s="7">
        <v>43725.551562499997</v>
      </c>
      <c r="C520" t="s">
        <v>24</v>
      </c>
      <c r="D520" t="s">
        <v>233</v>
      </c>
      <c r="E520">
        <v>1</v>
      </c>
      <c r="F520" t="s">
        <v>240</v>
      </c>
      <c r="G520" t="s">
        <v>237</v>
      </c>
      <c r="H520">
        <v>1</v>
      </c>
      <c r="I520">
        <v>0</v>
      </c>
      <c r="J520">
        <v>0</v>
      </c>
      <c r="K520">
        <v>0</v>
      </c>
      <c r="L520">
        <v>0</v>
      </c>
    </row>
    <row r="521" spans="1:12" x14ac:dyDescent="0.35">
      <c r="A521" t="s">
        <v>372</v>
      </c>
      <c r="B521" s="7">
        <v>43725.551562499997</v>
      </c>
      <c r="C521" t="s">
        <v>108</v>
      </c>
      <c r="D521" t="s">
        <v>31</v>
      </c>
      <c r="E521">
        <v>1</v>
      </c>
      <c r="F521" t="s">
        <v>240</v>
      </c>
      <c r="G521" t="s">
        <v>237</v>
      </c>
      <c r="H521">
        <v>0</v>
      </c>
      <c r="I521">
        <v>0</v>
      </c>
      <c r="J521">
        <v>1</v>
      </c>
      <c r="K521">
        <v>0</v>
      </c>
      <c r="L521">
        <v>0</v>
      </c>
    </row>
    <row r="522" spans="1:12" x14ac:dyDescent="0.35">
      <c r="A522" t="s">
        <v>372</v>
      </c>
      <c r="B522" s="7">
        <v>43725.551562499997</v>
      </c>
      <c r="C522" t="s">
        <v>108</v>
      </c>
      <c r="D522" t="s">
        <v>229</v>
      </c>
      <c r="E522">
        <v>1</v>
      </c>
      <c r="F522" t="s">
        <v>242</v>
      </c>
      <c r="G522" t="s">
        <v>231</v>
      </c>
      <c r="H522">
        <v>0</v>
      </c>
      <c r="I522">
        <v>0</v>
      </c>
      <c r="J522">
        <v>1</v>
      </c>
      <c r="K522">
        <v>0</v>
      </c>
      <c r="L522">
        <v>0</v>
      </c>
    </row>
    <row r="523" spans="1:12" x14ac:dyDescent="0.35">
      <c r="A523" t="s">
        <v>371</v>
      </c>
      <c r="B523" s="7">
        <v>43725.551562499997</v>
      </c>
      <c r="C523" t="s">
        <v>24</v>
      </c>
      <c r="D523" t="s">
        <v>235</v>
      </c>
      <c r="E523">
        <v>1</v>
      </c>
      <c r="F523" t="s">
        <v>242</v>
      </c>
      <c r="G523" t="s">
        <v>231</v>
      </c>
      <c r="H523">
        <v>1</v>
      </c>
      <c r="I523">
        <v>0</v>
      </c>
      <c r="J523">
        <v>0</v>
      </c>
      <c r="K523">
        <v>0</v>
      </c>
      <c r="L523">
        <v>0</v>
      </c>
    </row>
    <row r="524" spans="1:12" x14ac:dyDescent="0.35">
      <c r="A524" t="s">
        <v>83</v>
      </c>
      <c r="B524" s="7">
        <v>43725.571423611109</v>
      </c>
      <c r="C524" t="s">
        <v>24</v>
      </c>
      <c r="D524" t="s">
        <v>25</v>
      </c>
      <c r="E524">
        <v>1</v>
      </c>
      <c r="F524" t="s">
        <v>505</v>
      </c>
      <c r="G524" t="s">
        <v>27</v>
      </c>
      <c r="H524">
        <v>1</v>
      </c>
      <c r="I524">
        <v>0</v>
      </c>
      <c r="J524">
        <v>0</v>
      </c>
      <c r="K524">
        <v>0</v>
      </c>
      <c r="L524">
        <v>0</v>
      </c>
    </row>
    <row r="525" spans="1:12" x14ac:dyDescent="0.35">
      <c r="A525" t="s">
        <v>84</v>
      </c>
      <c r="B525" s="7">
        <v>43725.573113425926</v>
      </c>
      <c r="C525" t="s">
        <v>85</v>
      </c>
      <c r="D525" t="s">
        <v>25</v>
      </c>
      <c r="E525">
        <v>1</v>
      </c>
      <c r="F525" t="s">
        <v>505</v>
      </c>
      <c r="G525" t="s">
        <v>27</v>
      </c>
      <c r="H525">
        <v>0</v>
      </c>
      <c r="I525">
        <v>0</v>
      </c>
      <c r="J525">
        <v>0</v>
      </c>
      <c r="K525">
        <v>1</v>
      </c>
      <c r="L525">
        <v>0</v>
      </c>
    </row>
    <row r="526" spans="1:12" x14ac:dyDescent="0.35">
      <c r="A526" t="s">
        <v>86</v>
      </c>
      <c r="B526" s="7">
        <v>43725.573460648149</v>
      </c>
      <c r="C526" t="s">
        <v>85</v>
      </c>
      <c r="D526" t="s">
        <v>25</v>
      </c>
      <c r="E526">
        <v>1</v>
      </c>
      <c r="F526" t="s">
        <v>505</v>
      </c>
      <c r="G526" t="s">
        <v>27</v>
      </c>
      <c r="H526">
        <v>0</v>
      </c>
      <c r="I526">
        <v>0</v>
      </c>
      <c r="J526">
        <v>0</v>
      </c>
      <c r="K526">
        <v>1</v>
      </c>
      <c r="L526">
        <v>0</v>
      </c>
    </row>
    <row r="527" spans="1:12" x14ac:dyDescent="0.35">
      <c r="A527" t="s">
        <v>87</v>
      </c>
      <c r="B527" s="7">
        <v>43725.573680555557</v>
      </c>
      <c r="C527" t="s">
        <v>24</v>
      </c>
      <c r="D527" t="s">
        <v>31</v>
      </c>
      <c r="E527">
        <v>1</v>
      </c>
      <c r="F527" t="s">
        <v>505</v>
      </c>
      <c r="G527" t="s">
        <v>27</v>
      </c>
      <c r="H527">
        <v>1</v>
      </c>
      <c r="I527">
        <v>0</v>
      </c>
      <c r="J527">
        <v>0</v>
      </c>
      <c r="K527">
        <v>0</v>
      </c>
      <c r="L527">
        <v>0</v>
      </c>
    </row>
    <row r="528" spans="1:12" x14ac:dyDescent="0.35">
      <c r="A528" t="s">
        <v>88</v>
      </c>
      <c r="B528" s="7">
        <v>43725.57371527778</v>
      </c>
      <c r="C528" t="s">
        <v>24</v>
      </c>
      <c r="D528" t="s">
        <v>62</v>
      </c>
      <c r="E528">
        <v>1</v>
      </c>
      <c r="F528" t="s">
        <v>505</v>
      </c>
      <c r="G528" t="s">
        <v>27</v>
      </c>
      <c r="H528">
        <v>1</v>
      </c>
      <c r="I528">
        <v>0</v>
      </c>
      <c r="J528">
        <v>0</v>
      </c>
      <c r="K528">
        <v>0</v>
      </c>
      <c r="L528">
        <v>0</v>
      </c>
    </row>
    <row r="529" spans="1:12" x14ac:dyDescent="0.35">
      <c r="A529" t="s">
        <v>89</v>
      </c>
      <c r="B529" s="7">
        <v>43725.573738425926</v>
      </c>
      <c r="C529" t="s">
        <v>24</v>
      </c>
      <c r="D529" t="s">
        <v>25</v>
      </c>
      <c r="E529">
        <v>1</v>
      </c>
      <c r="F529" t="s">
        <v>505</v>
      </c>
      <c r="G529" t="s">
        <v>27</v>
      </c>
      <c r="H529">
        <v>1</v>
      </c>
      <c r="I529">
        <v>0</v>
      </c>
      <c r="J529">
        <v>0</v>
      </c>
      <c r="K529">
        <v>0</v>
      </c>
      <c r="L529">
        <v>0</v>
      </c>
    </row>
    <row r="530" spans="1:12" x14ac:dyDescent="0.35">
      <c r="A530" t="s">
        <v>90</v>
      </c>
      <c r="B530" s="7">
        <v>43725.573912037034</v>
      </c>
      <c r="C530" t="s">
        <v>53</v>
      </c>
      <c r="D530" t="s">
        <v>47</v>
      </c>
      <c r="E530">
        <v>1</v>
      </c>
      <c r="F530" t="s">
        <v>505</v>
      </c>
      <c r="G530" t="s">
        <v>27</v>
      </c>
      <c r="H530">
        <v>0</v>
      </c>
      <c r="I530">
        <v>0</v>
      </c>
      <c r="J530">
        <v>0</v>
      </c>
      <c r="K530">
        <v>0</v>
      </c>
      <c r="L530">
        <v>0</v>
      </c>
    </row>
    <row r="531" spans="1:12" x14ac:dyDescent="0.35">
      <c r="A531" t="s">
        <v>91</v>
      </c>
      <c r="B531" s="7">
        <v>43725.573912037034</v>
      </c>
      <c r="C531" t="s">
        <v>24</v>
      </c>
      <c r="D531" t="s">
        <v>47</v>
      </c>
      <c r="E531">
        <v>1</v>
      </c>
      <c r="F531" t="s">
        <v>505</v>
      </c>
      <c r="G531" t="s">
        <v>27</v>
      </c>
      <c r="H531">
        <v>1</v>
      </c>
      <c r="I531">
        <v>0</v>
      </c>
      <c r="J531">
        <v>0</v>
      </c>
      <c r="K531">
        <v>0</v>
      </c>
      <c r="L531">
        <v>0</v>
      </c>
    </row>
    <row r="532" spans="1:12" x14ac:dyDescent="0.35">
      <c r="A532" t="s">
        <v>92</v>
      </c>
      <c r="B532" s="7">
        <v>43725.573923611111</v>
      </c>
      <c r="C532" t="s">
        <v>24</v>
      </c>
      <c r="D532" t="s">
        <v>75</v>
      </c>
      <c r="E532">
        <v>1</v>
      </c>
      <c r="F532" t="s">
        <v>505</v>
      </c>
      <c r="G532" t="s">
        <v>27</v>
      </c>
      <c r="H532">
        <v>1</v>
      </c>
      <c r="I532">
        <v>0</v>
      </c>
      <c r="J532">
        <v>0</v>
      </c>
      <c r="K532">
        <v>0</v>
      </c>
      <c r="L532">
        <v>0</v>
      </c>
    </row>
    <row r="533" spans="1:12" x14ac:dyDescent="0.35">
      <c r="A533" t="s">
        <v>93</v>
      </c>
      <c r="B533" s="7">
        <v>43725.573958333334</v>
      </c>
      <c r="C533" t="s">
        <v>24</v>
      </c>
      <c r="D533" t="s">
        <v>47</v>
      </c>
      <c r="E533">
        <v>1</v>
      </c>
      <c r="F533" t="s">
        <v>505</v>
      </c>
      <c r="G533" t="s">
        <v>27</v>
      </c>
      <c r="H533">
        <v>1</v>
      </c>
      <c r="I533">
        <v>0</v>
      </c>
      <c r="J533">
        <v>0</v>
      </c>
      <c r="K533">
        <v>0</v>
      </c>
      <c r="L533">
        <v>0</v>
      </c>
    </row>
    <row r="534" spans="1:12" x14ac:dyDescent="0.35">
      <c r="A534" t="s">
        <v>94</v>
      </c>
      <c r="B534" s="7">
        <v>43725.574097222219</v>
      </c>
      <c r="C534" t="s">
        <v>24</v>
      </c>
      <c r="D534" t="s">
        <v>25</v>
      </c>
      <c r="E534">
        <v>1</v>
      </c>
      <c r="F534" t="s">
        <v>505</v>
      </c>
      <c r="G534" t="s">
        <v>27</v>
      </c>
      <c r="H534">
        <v>1</v>
      </c>
      <c r="I534">
        <v>0</v>
      </c>
      <c r="J534">
        <v>0</v>
      </c>
      <c r="K534">
        <v>0</v>
      </c>
      <c r="L534">
        <v>0</v>
      </c>
    </row>
    <row r="535" spans="1:12" x14ac:dyDescent="0.35">
      <c r="A535" t="s">
        <v>95</v>
      </c>
      <c r="B535" s="7">
        <v>43725.57435185185</v>
      </c>
      <c r="C535" t="s">
        <v>24</v>
      </c>
      <c r="D535" t="s">
        <v>96</v>
      </c>
      <c r="E535">
        <v>1</v>
      </c>
      <c r="F535" t="s">
        <v>505</v>
      </c>
      <c r="G535" t="s">
        <v>27</v>
      </c>
      <c r="H535">
        <v>1</v>
      </c>
      <c r="I535">
        <v>0</v>
      </c>
      <c r="J535">
        <v>0</v>
      </c>
      <c r="K535">
        <v>0</v>
      </c>
      <c r="L535">
        <v>0</v>
      </c>
    </row>
    <row r="536" spans="1:12" x14ac:dyDescent="0.35">
      <c r="A536" t="s">
        <v>98</v>
      </c>
      <c r="B536" s="7">
        <v>43725.578368055554</v>
      </c>
      <c r="C536" t="s">
        <v>53</v>
      </c>
      <c r="D536" t="s">
        <v>54</v>
      </c>
      <c r="E536">
        <v>1</v>
      </c>
      <c r="F536" t="s">
        <v>505</v>
      </c>
      <c r="G536" t="s">
        <v>27</v>
      </c>
      <c r="H536">
        <v>0</v>
      </c>
      <c r="I536">
        <v>0</v>
      </c>
      <c r="J536">
        <v>0</v>
      </c>
      <c r="K536">
        <v>0</v>
      </c>
      <c r="L536">
        <v>0</v>
      </c>
    </row>
    <row r="537" spans="1:12" x14ac:dyDescent="0.35">
      <c r="A537" t="s">
        <v>99</v>
      </c>
      <c r="B537" s="7">
        <v>43725.578368055554</v>
      </c>
      <c r="C537" t="s">
        <v>24</v>
      </c>
      <c r="D537" t="s">
        <v>54</v>
      </c>
      <c r="E537">
        <v>1</v>
      </c>
      <c r="F537" t="s">
        <v>505</v>
      </c>
      <c r="G537" t="s">
        <v>27</v>
      </c>
      <c r="H537">
        <v>1</v>
      </c>
      <c r="I537">
        <v>0</v>
      </c>
      <c r="J537">
        <v>0</v>
      </c>
      <c r="K537">
        <v>0</v>
      </c>
      <c r="L537">
        <v>0</v>
      </c>
    </row>
    <row r="538" spans="1:12" x14ac:dyDescent="0.35">
      <c r="A538" t="s">
        <v>100</v>
      </c>
      <c r="B538" s="7">
        <v>43725.578599537039</v>
      </c>
      <c r="C538" t="s">
        <v>24</v>
      </c>
      <c r="D538" t="s">
        <v>96</v>
      </c>
      <c r="E538">
        <v>1</v>
      </c>
      <c r="F538" t="s">
        <v>505</v>
      </c>
      <c r="G538" t="s">
        <v>27</v>
      </c>
      <c r="H538">
        <v>1</v>
      </c>
      <c r="I538">
        <v>0</v>
      </c>
      <c r="J538">
        <v>0</v>
      </c>
      <c r="K538">
        <v>0</v>
      </c>
      <c r="L538">
        <v>0</v>
      </c>
    </row>
    <row r="539" spans="1:12" x14ac:dyDescent="0.35">
      <c r="A539" t="s">
        <v>101</v>
      </c>
      <c r="B539" s="7">
        <v>43725.579594907409</v>
      </c>
      <c r="C539" t="s">
        <v>85</v>
      </c>
      <c r="D539" t="s">
        <v>96</v>
      </c>
      <c r="E539">
        <v>1</v>
      </c>
      <c r="F539" t="s">
        <v>505</v>
      </c>
      <c r="G539" t="s">
        <v>27</v>
      </c>
      <c r="H539">
        <v>0</v>
      </c>
      <c r="I539">
        <v>0</v>
      </c>
      <c r="J539">
        <v>0</v>
      </c>
      <c r="K539">
        <v>1</v>
      </c>
      <c r="L539">
        <v>0</v>
      </c>
    </row>
    <row r="540" spans="1:12" x14ac:dyDescent="0.35">
      <c r="A540" t="s">
        <v>102</v>
      </c>
      <c r="B540" s="7">
        <v>43725.580740740741</v>
      </c>
      <c r="C540" t="s">
        <v>85</v>
      </c>
      <c r="D540" t="s">
        <v>96</v>
      </c>
      <c r="E540">
        <v>1</v>
      </c>
      <c r="F540" t="s">
        <v>505</v>
      </c>
      <c r="G540" t="s">
        <v>27</v>
      </c>
      <c r="H540">
        <v>0</v>
      </c>
      <c r="I540">
        <v>0</v>
      </c>
      <c r="J540">
        <v>0</v>
      </c>
      <c r="K540">
        <v>1</v>
      </c>
      <c r="L540">
        <v>0</v>
      </c>
    </row>
    <row r="541" spans="1:12" x14ac:dyDescent="0.35">
      <c r="A541" t="s">
        <v>103</v>
      </c>
      <c r="B541" s="7">
        <v>43725.583703703705</v>
      </c>
      <c r="C541" t="s">
        <v>24</v>
      </c>
      <c r="D541" t="s">
        <v>25</v>
      </c>
      <c r="E541">
        <v>1</v>
      </c>
      <c r="F541" t="s">
        <v>505</v>
      </c>
      <c r="G541" t="s">
        <v>27</v>
      </c>
      <c r="H541">
        <v>1</v>
      </c>
      <c r="I541">
        <v>0</v>
      </c>
      <c r="J541">
        <v>0</v>
      </c>
      <c r="K541">
        <v>0</v>
      </c>
      <c r="L541">
        <v>0</v>
      </c>
    </row>
    <row r="542" spans="1:12" x14ac:dyDescent="0.35">
      <c r="A542" t="s">
        <v>104</v>
      </c>
      <c r="B542" s="7">
        <v>43725.583715277775</v>
      </c>
      <c r="C542" t="s">
        <v>24</v>
      </c>
      <c r="D542" t="s">
        <v>96</v>
      </c>
      <c r="E542">
        <v>1</v>
      </c>
      <c r="F542" t="s">
        <v>505</v>
      </c>
      <c r="G542" t="s">
        <v>27</v>
      </c>
      <c r="H542">
        <v>1</v>
      </c>
      <c r="I542">
        <v>0</v>
      </c>
      <c r="J542">
        <v>0</v>
      </c>
      <c r="K542">
        <v>0</v>
      </c>
      <c r="L542">
        <v>0</v>
      </c>
    </row>
    <row r="543" spans="1:12" x14ac:dyDescent="0.35">
      <c r="A543" t="s">
        <v>105</v>
      </c>
      <c r="B543" s="7">
        <v>43725.583784722221</v>
      </c>
      <c r="C543" t="s">
        <v>85</v>
      </c>
      <c r="D543" t="s">
        <v>96</v>
      </c>
      <c r="E543">
        <v>1</v>
      </c>
      <c r="F543" t="s">
        <v>505</v>
      </c>
      <c r="G543" t="s">
        <v>27</v>
      </c>
      <c r="H543">
        <v>0</v>
      </c>
      <c r="I543">
        <v>0</v>
      </c>
      <c r="J543">
        <v>0</v>
      </c>
      <c r="K543">
        <v>1</v>
      </c>
      <c r="L543">
        <v>0</v>
      </c>
    </row>
    <row r="544" spans="1:12" x14ac:dyDescent="0.35">
      <c r="A544" t="s">
        <v>106</v>
      </c>
      <c r="B544" s="7">
        <v>43725.583819444444</v>
      </c>
      <c r="C544" t="s">
        <v>85</v>
      </c>
      <c r="D544" t="s">
        <v>96</v>
      </c>
      <c r="E544">
        <v>1</v>
      </c>
      <c r="F544" t="s">
        <v>505</v>
      </c>
      <c r="G544" t="s">
        <v>27</v>
      </c>
      <c r="H544">
        <v>0</v>
      </c>
      <c r="I544">
        <v>0</v>
      </c>
      <c r="J544">
        <v>0</v>
      </c>
      <c r="K544">
        <v>1</v>
      </c>
      <c r="L544">
        <v>0</v>
      </c>
    </row>
    <row r="545" spans="1:12" x14ac:dyDescent="0.35">
      <c r="A545" t="s">
        <v>107</v>
      </c>
      <c r="B545" s="7">
        <v>43725.598819444444</v>
      </c>
      <c r="C545" t="s">
        <v>108</v>
      </c>
      <c r="D545" t="s">
        <v>96</v>
      </c>
      <c r="E545">
        <v>1</v>
      </c>
      <c r="F545" t="s">
        <v>505</v>
      </c>
      <c r="G545" t="s">
        <v>27</v>
      </c>
      <c r="H545">
        <v>0</v>
      </c>
      <c r="I545">
        <v>0</v>
      </c>
      <c r="J545">
        <v>1</v>
      </c>
      <c r="K545">
        <v>0</v>
      </c>
      <c r="L545">
        <v>0</v>
      </c>
    </row>
    <row r="546" spans="1:12" x14ac:dyDescent="0.35">
      <c r="A546" t="s">
        <v>373</v>
      </c>
      <c r="B546" s="7">
        <v>43726.551562499997</v>
      </c>
      <c r="C546" t="s">
        <v>24</v>
      </c>
      <c r="D546" t="s">
        <v>34</v>
      </c>
      <c r="E546">
        <v>1</v>
      </c>
      <c r="F546" t="s">
        <v>249</v>
      </c>
      <c r="G546" t="s">
        <v>231</v>
      </c>
      <c r="H546">
        <v>1</v>
      </c>
      <c r="I546">
        <v>0</v>
      </c>
      <c r="J546">
        <v>0</v>
      </c>
      <c r="K546">
        <v>0</v>
      </c>
      <c r="L546">
        <v>0</v>
      </c>
    </row>
    <row r="547" spans="1:12" x14ac:dyDescent="0.35">
      <c r="A547" t="s">
        <v>373</v>
      </c>
      <c r="B547" s="7">
        <v>43726.551562499997</v>
      </c>
      <c r="C547" t="s">
        <v>24</v>
      </c>
      <c r="D547" t="s">
        <v>229</v>
      </c>
      <c r="E547">
        <v>1</v>
      </c>
      <c r="F547" t="s">
        <v>236</v>
      </c>
      <c r="G547" t="s">
        <v>237</v>
      </c>
      <c r="H547">
        <v>1</v>
      </c>
      <c r="I547">
        <v>0</v>
      </c>
      <c r="J547">
        <v>0</v>
      </c>
      <c r="K547">
        <v>0</v>
      </c>
      <c r="L547">
        <v>0</v>
      </c>
    </row>
    <row r="548" spans="1:12" x14ac:dyDescent="0.35">
      <c r="A548" t="s">
        <v>373</v>
      </c>
      <c r="B548" s="7">
        <v>43726.551562499997</v>
      </c>
      <c r="C548" t="s">
        <v>24</v>
      </c>
      <c r="D548" t="s">
        <v>233</v>
      </c>
      <c r="E548">
        <v>1</v>
      </c>
      <c r="F548" t="s">
        <v>236</v>
      </c>
      <c r="G548" t="s">
        <v>237</v>
      </c>
      <c r="H548">
        <v>1</v>
      </c>
      <c r="I548">
        <v>0</v>
      </c>
      <c r="J548">
        <v>0</v>
      </c>
      <c r="K548">
        <v>0</v>
      </c>
      <c r="L548">
        <v>0</v>
      </c>
    </row>
    <row r="549" spans="1:12" x14ac:dyDescent="0.35">
      <c r="A549" t="s">
        <v>374</v>
      </c>
      <c r="B549" s="7">
        <v>43726.551562499997</v>
      </c>
      <c r="C549" t="s">
        <v>85</v>
      </c>
      <c r="D549" t="s">
        <v>235</v>
      </c>
      <c r="E549">
        <v>1</v>
      </c>
      <c r="F549" t="s">
        <v>239</v>
      </c>
      <c r="G549" t="s">
        <v>237</v>
      </c>
      <c r="H549">
        <v>0</v>
      </c>
      <c r="I549">
        <v>0</v>
      </c>
      <c r="J549">
        <v>0</v>
      </c>
      <c r="K549">
        <v>1</v>
      </c>
      <c r="L549">
        <v>0</v>
      </c>
    </row>
    <row r="550" spans="1:12" x14ac:dyDescent="0.35">
      <c r="A550" t="s">
        <v>373</v>
      </c>
      <c r="B550" s="7">
        <v>43726.551562499997</v>
      </c>
      <c r="C550" t="s">
        <v>24</v>
      </c>
      <c r="D550" t="s">
        <v>233</v>
      </c>
      <c r="E550">
        <v>1</v>
      </c>
      <c r="F550" t="s">
        <v>239</v>
      </c>
      <c r="G550" t="s">
        <v>237</v>
      </c>
      <c r="H550">
        <v>1</v>
      </c>
      <c r="I550">
        <v>0</v>
      </c>
      <c r="J550">
        <v>0</v>
      </c>
      <c r="K550">
        <v>0</v>
      </c>
      <c r="L550">
        <v>0</v>
      </c>
    </row>
    <row r="551" spans="1:12" x14ac:dyDescent="0.35">
      <c r="A551" t="s">
        <v>373</v>
      </c>
      <c r="B551" s="7">
        <v>43726.551562499997</v>
      </c>
      <c r="C551" t="s">
        <v>24</v>
      </c>
      <c r="D551" t="s">
        <v>229</v>
      </c>
      <c r="E551">
        <v>1</v>
      </c>
      <c r="F551" t="s">
        <v>239</v>
      </c>
      <c r="G551" t="s">
        <v>237</v>
      </c>
      <c r="H551">
        <v>1</v>
      </c>
      <c r="I551">
        <v>0</v>
      </c>
      <c r="J551">
        <v>0</v>
      </c>
      <c r="K551">
        <v>0</v>
      </c>
      <c r="L551">
        <v>0</v>
      </c>
    </row>
    <row r="552" spans="1:12" x14ac:dyDescent="0.35">
      <c r="A552" t="s">
        <v>373</v>
      </c>
      <c r="B552" s="7">
        <v>43726.551562499997</v>
      </c>
      <c r="C552" t="s">
        <v>24</v>
      </c>
      <c r="D552" t="s">
        <v>238</v>
      </c>
      <c r="E552">
        <v>1</v>
      </c>
      <c r="F552" t="s">
        <v>239</v>
      </c>
      <c r="G552" t="s">
        <v>237</v>
      </c>
      <c r="H552">
        <v>1</v>
      </c>
      <c r="I552">
        <v>0</v>
      </c>
      <c r="J552">
        <v>0</v>
      </c>
      <c r="K552">
        <v>0</v>
      </c>
      <c r="L552">
        <v>0</v>
      </c>
    </row>
    <row r="553" spans="1:12" x14ac:dyDescent="0.35">
      <c r="A553" t="s">
        <v>375</v>
      </c>
      <c r="B553" s="7">
        <v>43726.551562499997</v>
      </c>
      <c r="C553" t="s">
        <v>108</v>
      </c>
      <c r="D553" t="s">
        <v>31</v>
      </c>
      <c r="E553">
        <v>1</v>
      </c>
      <c r="F553" t="s">
        <v>242</v>
      </c>
      <c r="G553" t="s">
        <v>231</v>
      </c>
      <c r="H553">
        <v>0</v>
      </c>
      <c r="I553">
        <v>0</v>
      </c>
      <c r="J553">
        <v>1</v>
      </c>
      <c r="K553">
        <v>0</v>
      </c>
      <c r="L553">
        <v>0</v>
      </c>
    </row>
    <row r="554" spans="1:12" x14ac:dyDescent="0.35">
      <c r="A554" t="s">
        <v>376</v>
      </c>
      <c r="B554" s="7">
        <v>43726.551562499997</v>
      </c>
      <c r="C554" t="s">
        <v>228</v>
      </c>
      <c r="D554" t="s">
        <v>31</v>
      </c>
      <c r="E554">
        <v>1</v>
      </c>
      <c r="F554" t="s">
        <v>242</v>
      </c>
      <c r="G554" t="s">
        <v>231</v>
      </c>
      <c r="H554">
        <v>0</v>
      </c>
      <c r="I554">
        <v>1</v>
      </c>
      <c r="J554">
        <v>0</v>
      </c>
      <c r="K554">
        <v>0</v>
      </c>
      <c r="L554">
        <v>0</v>
      </c>
    </row>
    <row r="555" spans="1:12" x14ac:dyDescent="0.35">
      <c r="A555" t="s">
        <v>373</v>
      </c>
      <c r="B555" s="7">
        <v>43726.551562499997</v>
      </c>
      <c r="C555" t="s">
        <v>24</v>
      </c>
      <c r="D555" t="s">
        <v>31</v>
      </c>
      <c r="E555">
        <v>1</v>
      </c>
      <c r="F555" t="s">
        <v>242</v>
      </c>
      <c r="G555" t="s">
        <v>231</v>
      </c>
      <c r="H555">
        <v>1</v>
      </c>
      <c r="I555">
        <v>0</v>
      </c>
      <c r="J555">
        <v>0</v>
      </c>
      <c r="K555">
        <v>0</v>
      </c>
      <c r="L555">
        <v>0</v>
      </c>
    </row>
    <row r="556" spans="1:12" x14ac:dyDescent="0.35">
      <c r="A556" t="s">
        <v>377</v>
      </c>
      <c r="B556" s="7">
        <v>43727.551562499997</v>
      </c>
      <c r="C556" t="s">
        <v>24</v>
      </c>
      <c r="D556" t="s">
        <v>229</v>
      </c>
      <c r="E556">
        <v>1</v>
      </c>
      <c r="F556" t="s">
        <v>230</v>
      </c>
      <c r="G556" t="s">
        <v>231</v>
      </c>
      <c r="H556">
        <v>1</v>
      </c>
      <c r="I556">
        <v>0</v>
      </c>
      <c r="J556">
        <v>0</v>
      </c>
      <c r="K556">
        <v>0</v>
      </c>
      <c r="L556">
        <v>0</v>
      </c>
    </row>
    <row r="557" spans="1:12" x14ac:dyDescent="0.35">
      <c r="A557" t="s">
        <v>377</v>
      </c>
      <c r="B557" s="7">
        <v>43727.551562499997</v>
      </c>
      <c r="C557" t="s">
        <v>24</v>
      </c>
      <c r="D557" t="s">
        <v>229</v>
      </c>
      <c r="E557">
        <v>1</v>
      </c>
      <c r="F557" t="s">
        <v>236</v>
      </c>
      <c r="G557" t="s">
        <v>237</v>
      </c>
      <c r="H557">
        <v>1</v>
      </c>
      <c r="I557">
        <v>0</v>
      </c>
      <c r="J557">
        <v>0</v>
      </c>
      <c r="K557">
        <v>0</v>
      </c>
      <c r="L557">
        <v>0</v>
      </c>
    </row>
    <row r="558" spans="1:12" x14ac:dyDescent="0.35">
      <c r="A558" t="s">
        <v>377</v>
      </c>
      <c r="B558" s="7">
        <v>43727.551562499997</v>
      </c>
      <c r="C558" t="s">
        <v>24</v>
      </c>
      <c r="D558" t="s">
        <v>31</v>
      </c>
      <c r="E558">
        <v>1</v>
      </c>
      <c r="F558" t="s">
        <v>236</v>
      </c>
      <c r="G558" t="s">
        <v>237</v>
      </c>
      <c r="H558">
        <v>1</v>
      </c>
      <c r="I558">
        <v>0</v>
      </c>
      <c r="J558">
        <v>0</v>
      </c>
      <c r="K558">
        <v>0</v>
      </c>
      <c r="L558">
        <v>0</v>
      </c>
    </row>
    <row r="559" spans="1:12" x14ac:dyDescent="0.35">
      <c r="A559" t="s">
        <v>377</v>
      </c>
      <c r="B559" s="7">
        <v>43727.551562499997</v>
      </c>
      <c r="C559" t="s">
        <v>24</v>
      </c>
      <c r="D559" t="s">
        <v>31</v>
      </c>
      <c r="E559">
        <v>1</v>
      </c>
      <c r="F559" t="s">
        <v>236</v>
      </c>
      <c r="G559" t="s">
        <v>237</v>
      </c>
      <c r="H559">
        <v>1</v>
      </c>
      <c r="I559">
        <v>0</v>
      </c>
      <c r="J559">
        <v>0</v>
      </c>
      <c r="K559">
        <v>0</v>
      </c>
      <c r="L559">
        <v>0</v>
      </c>
    </row>
    <row r="560" spans="1:12" x14ac:dyDescent="0.35">
      <c r="A560" t="s">
        <v>377</v>
      </c>
      <c r="B560" s="7">
        <v>43727.551562499997</v>
      </c>
      <c r="C560" t="s">
        <v>24</v>
      </c>
      <c r="D560" t="s">
        <v>235</v>
      </c>
      <c r="E560">
        <v>1</v>
      </c>
      <c r="F560" t="s">
        <v>240</v>
      </c>
      <c r="G560" t="s">
        <v>237</v>
      </c>
      <c r="H560">
        <v>1</v>
      </c>
      <c r="I560">
        <v>0</v>
      </c>
      <c r="J560">
        <v>0</v>
      </c>
      <c r="K560">
        <v>0</v>
      </c>
      <c r="L560">
        <v>0</v>
      </c>
    </row>
    <row r="561" spans="1:12" x14ac:dyDescent="0.35">
      <c r="A561" t="s">
        <v>378</v>
      </c>
      <c r="B561" s="7">
        <v>43727.551562499997</v>
      </c>
      <c r="C561" t="s">
        <v>228</v>
      </c>
      <c r="D561" t="s">
        <v>233</v>
      </c>
      <c r="E561">
        <v>1</v>
      </c>
      <c r="F561" t="s">
        <v>240</v>
      </c>
      <c r="G561" t="s">
        <v>237</v>
      </c>
      <c r="H561">
        <v>0</v>
      </c>
      <c r="I561">
        <v>1</v>
      </c>
      <c r="J561">
        <v>0</v>
      </c>
      <c r="K561">
        <v>0</v>
      </c>
      <c r="L561">
        <v>0</v>
      </c>
    </row>
    <row r="562" spans="1:12" x14ac:dyDescent="0.35">
      <c r="A562" t="s">
        <v>377</v>
      </c>
      <c r="B562" s="7">
        <v>43727.551562499997</v>
      </c>
      <c r="C562" t="s">
        <v>24</v>
      </c>
      <c r="D562" t="s">
        <v>238</v>
      </c>
      <c r="E562">
        <v>1</v>
      </c>
      <c r="F562" t="s">
        <v>242</v>
      </c>
      <c r="G562" t="s">
        <v>231</v>
      </c>
      <c r="H562">
        <v>1</v>
      </c>
      <c r="I562">
        <v>0</v>
      </c>
      <c r="J562">
        <v>0</v>
      </c>
      <c r="K562">
        <v>0</v>
      </c>
      <c r="L562">
        <v>0</v>
      </c>
    </row>
    <row r="563" spans="1:12" x14ac:dyDescent="0.35">
      <c r="A563" t="s">
        <v>377</v>
      </c>
      <c r="B563" s="7">
        <v>43727.551562499997</v>
      </c>
      <c r="C563" t="s">
        <v>24</v>
      </c>
      <c r="D563" t="s">
        <v>235</v>
      </c>
      <c r="E563">
        <v>1</v>
      </c>
      <c r="F563" t="s">
        <v>242</v>
      </c>
      <c r="G563" t="s">
        <v>231</v>
      </c>
      <c r="H563">
        <v>1</v>
      </c>
      <c r="I563">
        <v>0</v>
      </c>
      <c r="J563">
        <v>0</v>
      </c>
      <c r="K563">
        <v>0</v>
      </c>
      <c r="L563">
        <v>0</v>
      </c>
    </row>
    <row r="564" spans="1:12" x14ac:dyDescent="0.35">
      <c r="A564" t="s">
        <v>379</v>
      </c>
      <c r="B564" s="7">
        <v>43727.551562499997</v>
      </c>
      <c r="C564" t="s">
        <v>85</v>
      </c>
      <c r="D564" t="s">
        <v>34</v>
      </c>
      <c r="E564">
        <v>1</v>
      </c>
      <c r="F564" t="s">
        <v>242</v>
      </c>
      <c r="G564" t="s">
        <v>231</v>
      </c>
      <c r="H564">
        <v>0</v>
      </c>
      <c r="I564">
        <v>0</v>
      </c>
      <c r="J564">
        <v>0</v>
      </c>
      <c r="K564">
        <v>1</v>
      </c>
      <c r="L564">
        <v>0</v>
      </c>
    </row>
    <row r="565" spans="1:12" x14ac:dyDescent="0.35">
      <c r="A565" t="s">
        <v>378</v>
      </c>
      <c r="B565" s="7">
        <v>43727.551562499997</v>
      </c>
      <c r="C565" t="s">
        <v>228</v>
      </c>
      <c r="D565" t="s">
        <v>34</v>
      </c>
      <c r="E565">
        <v>1</v>
      </c>
      <c r="F565" t="s">
        <v>242</v>
      </c>
      <c r="G565" t="s">
        <v>231</v>
      </c>
      <c r="H565">
        <v>0</v>
      </c>
      <c r="I565">
        <v>1</v>
      </c>
      <c r="J565">
        <v>0</v>
      </c>
      <c r="K565">
        <v>0</v>
      </c>
      <c r="L565">
        <v>0</v>
      </c>
    </row>
    <row r="566" spans="1:12" x14ac:dyDescent="0.35">
      <c r="A566" t="s">
        <v>109</v>
      </c>
      <c r="B566" s="7">
        <v>43727.793275462966</v>
      </c>
      <c r="C566" t="s">
        <v>24</v>
      </c>
      <c r="D566" t="s">
        <v>75</v>
      </c>
      <c r="E566">
        <v>1</v>
      </c>
      <c r="F566" t="s">
        <v>505</v>
      </c>
      <c r="G566" t="s">
        <v>27</v>
      </c>
      <c r="H566">
        <v>1</v>
      </c>
      <c r="I566">
        <v>0</v>
      </c>
      <c r="J566">
        <v>0</v>
      </c>
      <c r="K566">
        <v>0</v>
      </c>
      <c r="L566">
        <v>0</v>
      </c>
    </row>
    <row r="567" spans="1:12" x14ac:dyDescent="0.35">
      <c r="A567" t="s">
        <v>110</v>
      </c>
      <c r="B567" s="7">
        <v>43727.793298611112</v>
      </c>
      <c r="C567" t="s">
        <v>24</v>
      </c>
      <c r="D567" t="s">
        <v>25</v>
      </c>
      <c r="E567">
        <v>1</v>
      </c>
      <c r="F567" t="s">
        <v>505</v>
      </c>
      <c r="G567" t="s">
        <v>27</v>
      </c>
      <c r="H567">
        <v>1</v>
      </c>
      <c r="I567">
        <v>0</v>
      </c>
      <c r="J567">
        <v>0</v>
      </c>
      <c r="K567">
        <v>0</v>
      </c>
      <c r="L567">
        <v>0</v>
      </c>
    </row>
    <row r="568" spans="1:12" x14ac:dyDescent="0.35">
      <c r="A568" t="s">
        <v>111</v>
      </c>
      <c r="B568" s="7">
        <v>43728.439236111109</v>
      </c>
      <c r="C568" t="s">
        <v>85</v>
      </c>
      <c r="D568" t="s">
        <v>25</v>
      </c>
      <c r="E568">
        <v>1</v>
      </c>
      <c r="F568" t="s">
        <v>505</v>
      </c>
      <c r="G568" t="s">
        <v>27</v>
      </c>
      <c r="H568">
        <v>0</v>
      </c>
      <c r="I568">
        <v>0</v>
      </c>
      <c r="J568">
        <v>0</v>
      </c>
      <c r="K568">
        <v>1</v>
      </c>
      <c r="L568">
        <v>0</v>
      </c>
    </row>
    <row r="569" spans="1:12" x14ac:dyDescent="0.35">
      <c r="A569" t="s">
        <v>112</v>
      </c>
      <c r="B569" s="7">
        <v>43728.439942129633</v>
      </c>
      <c r="C569" t="s">
        <v>85</v>
      </c>
      <c r="D569" t="s">
        <v>25</v>
      </c>
      <c r="E569">
        <v>1</v>
      </c>
      <c r="F569" t="s">
        <v>505</v>
      </c>
      <c r="G569" t="s">
        <v>27</v>
      </c>
      <c r="H569">
        <v>0</v>
      </c>
      <c r="I569">
        <v>0</v>
      </c>
      <c r="J569">
        <v>0</v>
      </c>
      <c r="K569">
        <v>1</v>
      </c>
      <c r="L569">
        <v>0</v>
      </c>
    </row>
    <row r="570" spans="1:12" x14ac:dyDescent="0.35">
      <c r="A570" t="s">
        <v>113</v>
      </c>
      <c r="B570" s="7">
        <v>43728.440393518518</v>
      </c>
      <c r="C570" t="s">
        <v>85</v>
      </c>
      <c r="D570" t="s">
        <v>25</v>
      </c>
      <c r="E570">
        <v>1</v>
      </c>
      <c r="F570" t="s">
        <v>505</v>
      </c>
      <c r="G570" t="s">
        <v>27</v>
      </c>
      <c r="H570">
        <v>0</v>
      </c>
      <c r="I570">
        <v>0</v>
      </c>
      <c r="J570">
        <v>0</v>
      </c>
      <c r="K570">
        <v>1</v>
      </c>
      <c r="L570">
        <v>0</v>
      </c>
    </row>
    <row r="571" spans="1:12" x14ac:dyDescent="0.35">
      <c r="A571" t="s">
        <v>114</v>
      </c>
      <c r="B571" s="7">
        <v>43728.442233796297</v>
      </c>
      <c r="C571" t="s">
        <v>85</v>
      </c>
      <c r="D571" t="s">
        <v>25</v>
      </c>
      <c r="E571">
        <v>1</v>
      </c>
      <c r="F571" t="s">
        <v>505</v>
      </c>
      <c r="G571" t="s">
        <v>27</v>
      </c>
      <c r="H571">
        <v>0</v>
      </c>
      <c r="I571">
        <v>0</v>
      </c>
      <c r="J571">
        <v>0</v>
      </c>
      <c r="K571">
        <v>1</v>
      </c>
      <c r="L571">
        <v>0</v>
      </c>
    </row>
    <row r="572" spans="1:12" x14ac:dyDescent="0.35">
      <c r="A572" t="s">
        <v>115</v>
      </c>
      <c r="B572" s="7">
        <v>43728.443333333336</v>
      </c>
      <c r="C572" t="s">
        <v>85</v>
      </c>
      <c r="D572" t="s">
        <v>25</v>
      </c>
      <c r="E572">
        <v>1</v>
      </c>
      <c r="F572" t="s">
        <v>505</v>
      </c>
      <c r="G572" t="s">
        <v>27</v>
      </c>
      <c r="H572">
        <v>0</v>
      </c>
      <c r="I572">
        <v>0</v>
      </c>
      <c r="J572">
        <v>0</v>
      </c>
      <c r="K572">
        <v>1</v>
      </c>
      <c r="L572">
        <v>0</v>
      </c>
    </row>
    <row r="573" spans="1:12" x14ac:dyDescent="0.35">
      <c r="A573" t="s">
        <v>116</v>
      </c>
      <c r="B573" s="7">
        <v>43728.443680555552</v>
      </c>
      <c r="C573" t="s">
        <v>24</v>
      </c>
      <c r="D573" t="s">
        <v>75</v>
      </c>
      <c r="E573">
        <v>1</v>
      </c>
      <c r="F573" t="s">
        <v>505</v>
      </c>
      <c r="G573" t="s">
        <v>27</v>
      </c>
      <c r="H573">
        <v>1</v>
      </c>
      <c r="I573">
        <v>0</v>
      </c>
      <c r="J573">
        <v>0</v>
      </c>
      <c r="K573">
        <v>0</v>
      </c>
      <c r="L573">
        <v>0</v>
      </c>
    </row>
    <row r="574" spans="1:12" x14ac:dyDescent="0.35">
      <c r="A574" t="s">
        <v>117</v>
      </c>
      <c r="B574" s="7">
        <v>43728.443703703706</v>
      </c>
      <c r="C574" t="s">
        <v>24</v>
      </c>
      <c r="D574" t="s">
        <v>25</v>
      </c>
      <c r="E574">
        <v>1</v>
      </c>
      <c r="F574" t="s">
        <v>505</v>
      </c>
      <c r="G574" t="s">
        <v>27</v>
      </c>
      <c r="H574">
        <v>1</v>
      </c>
      <c r="I574">
        <v>0</v>
      </c>
      <c r="J574">
        <v>0</v>
      </c>
      <c r="K574">
        <v>0</v>
      </c>
      <c r="L574">
        <v>0</v>
      </c>
    </row>
    <row r="575" spans="1:12" x14ac:dyDescent="0.35">
      <c r="A575" t="s">
        <v>122</v>
      </c>
      <c r="B575" s="7">
        <v>43728.44568287037</v>
      </c>
      <c r="C575" t="s">
        <v>85</v>
      </c>
      <c r="D575" t="s">
        <v>25</v>
      </c>
      <c r="E575">
        <v>1</v>
      </c>
      <c r="F575" t="s">
        <v>505</v>
      </c>
      <c r="G575" t="s">
        <v>27</v>
      </c>
      <c r="H575">
        <v>0</v>
      </c>
      <c r="I575">
        <v>0</v>
      </c>
      <c r="J575">
        <v>0</v>
      </c>
      <c r="K575">
        <v>1</v>
      </c>
      <c r="L575">
        <v>0</v>
      </c>
    </row>
    <row r="576" spans="1:12" x14ac:dyDescent="0.35">
      <c r="A576" t="s">
        <v>123</v>
      </c>
      <c r="B576" s="7">
        <v>43728.445879629631</v>
      </c>
      <c r="C576" t="s">
        <v>24</v>
      </c>
      <c r="D576" t="s">
        <v>96</v>
      </c>
      <c r="E576">
        <v>1</v>
      </c>
      <c r="F576" t="s">
        <v>505</v>
      </c>
      <c r="G576" t="s">
        <v>27</v>
      </c>
      <c r="H576">
        <v>1</v>
      </c>
      <c r="I576">
        <v>0</v>
      </c>
      <c r="J576">
        <v>0</v>
      </c>
      <c r="K576">
        <v>0</v>
      </c>
      <c r="L576">
        <v>0</v>
      </c>
    </row>
    <row r="577" spans="1:12" x14ac:dyDescent="0.35">
      <c r="A577" t="s">
        <v>127</v>
      </c>
      <c r="B577" s="7">
        <v>43728.446759259263</v>
      </c>
      <c r="C577" t="s">
        <v>85</v>
      </c>
      <c r="D577" t="s">
        <v>96</v>
      </c>
      <c r="E577">
        <v>1</v>
      </c>
      <c r="F577" t="s">
        <v>505</v>
      </c>
      <c r="G577" t="s">
        <v>27</v>
      </c>
      <c r="H577">
        <v>0</v>
      </c>
      <c r="I577">
        <v>0</v>
      </c>
      <c r="J577">
        <v>0</v>
      </c>
      <c r="K577">
        <v>1</v>
      </c>
      <c r="L577">
        <v>0</v>
      </c>
    </row>
    <row r="578" spans="1:12" x14ac:dyDescent="0.35">
      <c r="A578" t="s">
        <v>128</v>
      </c>
      <c r="B578" s="7">
        <v>43728.446782407409</v>
      </c>
      <c r="C578" t="s">
        <v>24</v>
      </c>
      <c r="D578" t="s">
        <v>62</v>
      </c>
      <c r="E578">
        <v>1</v>
      </c>
      <c r="F578" t="s">
        <v>505</v>
      </c>
      <c r="G578" t="s">
        <v>27</v>
      </c>
      <c r="H578">
        <v>1</v>
      </c>
      <c r="I578">
        <v>0</v>
      </c>
      <c r="J578">
        <v>0</v>
      </c>
      <c r="K578">
        <v>0</v>
      </c>
      <c r="L578">
        <v>0</v>
      </c>
    </row>
    <row r="579" spans="1:12" x14ac:dyDescent="0.35">
      <c r="A579" t="s">
        <v>129</v>
      </c>
      <c r="B579" s="7">
        <v>43728.446793981479</v>
      </c>
      <c r="C579" t="s">
        <v>24</v>
      </c>
      <c r="D579" t="s">
        <v>25</v>
      </c>
      <c r="E579">
        <v>1</v>
      </c>
      <c r="F579" t="s">
        <v>505</v>
      </c>
      <c r="G579" t="s">
        <v>27</v>
      </c>
      <c r="H579">
        <v>1</v>
      </c>
      <c r="I579">
        <v>0</v>
      </c>
      <c r="J579">
        <v>0</v>
      </c>
      <c r="K579">
        <v>0</v>
      </c>
      <c r="L579">
        <v>0</v>
      </c>
    </row>
    <row r="580" spans="1:12" x14ac:dyDescent="0.35">
      <c r="A580" t="s">
        <v>130</v>
      </c>
      <c r="B580" s="7">
        <v>43728.446886574071</v>
      </c>
      <c r="C580" t="s">
        <v>24</v>
      </c>
      <c r="D580" t="s">
        <v>75</v>
      </c>
      <c r="E580">
        <v>1</v>
      </c>
      <c r="F580" t="s">
        <v>505</v>
      </c>
      <c r="G580" t="s">
        <v>27</v>
      </c>
      <c r="H580">
        <v>1</v>
      </c>
      <c r="I580">
        <v>0</v>
      </c>
      <c r="J580">
        <v>0</v>
      </c>
      <c r="K580">
        <v>0</v>
      </c>
      <c r="L580">
        <v>0</v>
      </c>
    </row>
    <row r="581" spans="1:12" x14ac:dyDescent="0.35">
      <c r="A581" t="s">
        <v>131</v>
      </c>
      <c r="B581" s="7">
        <v>43728.446898148148</v>
      </c>
      <c r="C581" t="s">
        <v>24</v>
      </c>
      <c r="D581" t="s">
        <v>62</v>
      </c>
      <c r="E581">
        <v>1</v>
      </c>
      <c r="F581" t="s">
        <v>505</v>
      </c>
      <c r="G581" t="s">
        <v>27</v>
      </c>
      <c r="H581">
        <v>1</v>
      </c>
      <c r="I581">
        <v>0</v>
      </c>
      <c r="J581">
        <v>0</v>
      </c>
      <c r="K581">
        <v>0</v>
      </c>
      <c r="L581">
        <v>0</v>
      </c>
    </row>
    <row r="582" spans="1:12" x14ac:dyDescent="0.35">
      <c r="A582" t="s">
        <v>132</v>
      </c>
      <c r="B582" s="7">
        <v>43728.446921296294</v>
      </c>
      <c r="C582" t="s">
        <v>24</v>
      </c>
      <c r="D582" t="s">
        <v>25</v>
      </c>
      <c r="E582">
        <v>1</v>
      </c>
      <c r="F582" t="s">
        <v>505</v>
      </c>
      <c r="G582" t="s">
        <v>27</v>
      </c>
      <c r="H582">
        <v>1</v>
      </c>
      <c r="I582">
        <v>0</v>
      </c>
      <c r="J582">
        <v>0</v>
      </c>
      <c r="K582">
        <v>0</v>
      </c>
      <c r="L582">
        <v>0</v>
      </c>
    </row>
    <row r="583" spans="1:12" x14ac:dyDescent="0.35">
      <c r="A583" t="s">
        <v>133</v>
      </c>
      <c r="B583" s="7">
        <v>43728.447500000002</v>
      </c>
      <c r="C583" t="s">
        <v>85</v>
      </c>
      <c r="D583" t="s">
        <v>25</v>
      </c>
      <c r="E583">
        <v>1</v>
      </c>
      <c r="F583" t="s">
        <v>505</v>
      </c>
      <c r="G583" t="s">
        <v>27</v>
      </c>
      <c r="H583">
        <v>0</v>
      </c>
      <c r="I583">
        <v>0</v>
      </c>
      <c r="J583">
        <v>0</v>
      </c>
      <c r="K583">
        <v>1</v>
      </c>
      <c r="L583">
        <v>0</v>
      </c>
    </row>
    <row r="584" spans="1:12" x14ac:dyDescent="0.35">
      <c r="A584" t="s">
        <v>134</v>
      </c>
      <c r="B584" s="7">
        <v>43728.447743055556</v>
      </c>
      <c r="C584" t="s">
        <v>85</v>
      </c>
      <c r="D584" t="s">
        <v>25</v>
      </c>
      <c r="E584">
        <v>1</v>
      </c>
      <c r="F584" t="s">
        <v>505</v>
      </c>
      <c r="G584" t="s">
        <v>27</v>
      </c>
      <c r="H584">
        <v>0</v>
      </c>
      <c r="I584">
        <v>0</v>
      </c>
      <c r="J584">
        <v>0</v>
      </c>
      <c r="K584">
        <v>1</v>
      </c>
      <c r="L584">
        <v>0</v>
      </c>
    </row>
    <row r="585" spans="1:12" x14ac:dyDescent="0.35">
      <c r="A585" t="s">
        <v>135</v>
      </c>
      <c r="B585" s="7">
        <v>43728.448634259257</v>
      </c>
      <c r="C585" t="s">
        <v>85</v>
      </c>
      <c r="D585" t="s">
        <v>136</v>
      </c>
      <c r="E585">
        <v>1</v>
      </c>
      <c r="F585" t="s">
        <v>505</v>
      </c>
      <c r="G585" t="s">
        <v>27</v>
      </c>
      <c r="H585">
        <v>0</v>
      </c>
      <c r="I585">
        <v>0</v>
      </c>
      <c r="J585">
        <v>0</v>
      </c>
      <c r="K585">
        <v>1</v>
      </c>
      <c r="L585">
        <v>0</v>
      </c>
    </row>
    <row r="586" spans="1:12" x14ac:dyDescent="0.35">
      <c r="A586" t="s">
        <v>137</v>
      </c>
      <c r="B586" s="7">
        <v>43728.448865740742</v>
      </c>
      <c r="C586" t="s">
        <v>24</v>
      </c>
      <c r="D586" t="s">
        <v>31</v>
      </c>
      <c r="E586">
        <v>1</v>
      </c>
      <c r="F586" t="s">
        <v>505</v>
      </c>
      <c r="G586" t="s">
        <v>27</v>
      </c>
      <c r="H586">
        <v>1</v>
      </c>
      <c r="I586">
        <v>0</v>
      </c>
      <c r="J586">
        <v>0</v>
      </c>
      <c r="K586">
        <v>0</v>
      </c>
      <c r="L586">
        <v>0</v>
      </c>
    </row>
    <row r="587" spans="1:12" x14ac:dyDescent="0.35">
      <c r="A587" t="s">
        <v>138</v>
      </c>
      <c r="B587" s="7">
        <v>43728.448900462965</v>
      </c>
      <c r="C587" t="s">
        <v>24</v>
      </c>
      <c r="D587" t="s">
        <v>75</v>
      </c>
      <c r="E587">
        <v>1</v>
      </c>
      <c r="F587" t="s">
        <v>505</v>
      </c>
      <c r="G587" t="s">
        <v>27</v>
      </c>
      <c r="H587">
        <v>1</v>
      </c>
      <c r="I587">
        <v>0</v>
      </c>
      <c r="J587">
        <v>0</v>
      </c>
      <c r="K587">
        <v>0</v>
      </c>
      <c r="L587">
        <v>0</v>
      </c>
    </row>
    <row r="588" spans="1:12" x14ac:dyDescent="0.35">
      <c r="A588" t="s">
        <v>139</v>
      </c>
      <c r="B588" s="7">
        <v>43728.448923611111</v>
      </c>
      <c r="C588" t="s">
        <v>24</v>
      </c>
      <c r="D588" t="s">
        <v>136</v>
      </c>
      <c r="E588">
        <v>1</v>
      </c>
      <c r="F588" t="s">
        <v>505</v>
      </c>
      <c r="G588" t="s">
        <v>27</v>
      </c>
      <c r="H588">
        <v>1</v>
      </c>
      <c r="I588">
        <v>0</v>
      </c>
      <c r="J588">
        <v>0</v>
      </c>
      <c r="K588">
        <v>0</v>
      </c>
      <c r="L588">
        <v>0</v>
      </c>
    </row>
    <row r="589" spans="1:12" x14ac:dyDescent="0.35">
      <c r="A589" t="s">
        <v>140</v>
      </c>
      <c r="B589" s="7">
        <v>43728.45784722222</v>
      </c>
      <c r="C589" t="s">
        <v>85</v>
      </c>
      <c r="D589" t="s">
        <v>136</v>
      </c>
      <c r="E589">
        <v>1</v>
      </c>
      <c r="F589" t="s">
        <v>505</v>
      </c>
      <c r="G589" t="s">
        <v>27</v>
      </c>
      <c r="H589">
        <v>0</v>
      </c>
      <c r="I589">
        <v>0</v>
      </c>
      <c r="J589">
        <v>0</v>
      </c>
      <c r="K589">
        <v>1</v>
      </c>
      <c r="L589">
        <v>0</v>
      </c>
    </row>
    <row r="590" spans="1:12" x14ac:dyDescent="0.35">
      <c r="A590" t="s">
        <v>141</v>
      </c>
      <c r="B590" s="7">
        <v>43728.45884259259</v>
      </c>
      <c r="C590" t="s">
        <v>85</v>
      </c>
      <c r="D590" t="s">
        <v>136</v>
      </c>
      <c r="E590">
        <v>1</v>
      </c>
      <c r="F590" t="s">
        <v>505</v>
      </c>
      <c r="G590" t="s">
        <v>27</v>
      </c>
      <c r="H590">
        <v>0</v>
      </c>
      <c r="I590">
        <v>0</v>
      </c>
      <c r="J590">
        <v>0</v>
      </c>
      <c r="K590">
        <v>1</v>
      </c>
      <c r="L590">
        <v>0</v>
      </c>
    </row>
    <row r="591" spans="1:12" x14ac:dyDescent="0.35">
      <c r="A591" t="s">
        <v>142</v>
      </c>
      <c r="B591" s="7">
        <v>43728.45989583333</v>
      </c>
      <c r="C591" t="s">
        <v>85</v>
      </c>
      <c r="D591" t="s">
        <v>136</v>
      </c>
      <c r="E591">
        <v>1</v>
      </c>
      <c r="F591" t="s">
        <v>505</v>
      </c>
      <c r="G591" t="s">
        <v>27</v>
      </c>
      <c r="H591">
        <v>0</v>
      </c>
      <c r="I591">
        <v>0</v>
      </c>
      <c r="J591">
        <v>0</v>
      </c>
      <c r="K591">
        <v>1</v>
      </c>
      <c r="L591">
        <v>0</v>
      </c>
    </row>
    <row r="592" spans="1:12" x14ac:dyDescent="0.35">
      <c r="A592" t="s">
        <v>143</v>
      </c>
      <c r="B592" s="7">
        <v>43728.460046296299</v>
      </c>
      <c r="C592" t="s">
        <v>85</v>
      </c>
      <c r="D592" t="s">
        <v>136</v>
      </c>
      <c r="E592">
        <v>1</v>
      </c>
      <c r="F592" t="s">
        <v>505</v>
      </c>
      <c r="G592" t="s">
        <v>27</v>
      </c>
      <c r="H592">
        <v>0</v>
      </c>
      <c r="I592">
        <v>0</v>
      </c>
      <c r="J592">
        <v>0</v>
      </c>
      <c r="K592">
        <v>1</v>
      </c>
      <c r="L592">
        <v>0</v>
      </c>
    </row>
    <row r="593" spans="1:12" x14ac:dyDescent="0.35">
      <c r="A593" t="s">
        <v>144</v>
      </c>
      <c r="B593" s="7">
        <v>43728.461030092592</v>
      </c>
      <c r="C593" t="s">
        <v>85</v>
      </c>
      <c r="D593" t="s">
        <v>136</v>
      </c>
      <c r="E593">
        <v>1</v>
      </c>
      <c r="F593" t="s">
        <v>505</v>
      </c>
      <c r="G593" t="s">
        <v>27</v>
      </c>
      <c r="H593">
        <v>0</v>
      </c>
      <c r="I593">
        <v>0</v>
      </c>
      <c r="J593">
        <v>0</v>
      </c>
      <c r="K593">
        <v>1</v>
      </c>
      <c r="L593">
        <v>0</v>
      </c>
    </row>
    <row r="594" spans="1:12" x14ac:dyDescent="0.35">
      <c r="A594" t="s">
        <v>145</v>
      </c>
      <c r="B594" s="7">
        <v>43728.483854166669</v>
      </c>
      <c r="C594" t="s">
        <v>85</v>
      </c>
      <c r="D594" t="s">
        <v>34</v>
      </c>
      <c r="E594">
        <v>1</v>
      </c>
      <c r="F594" t="s">
        <v>505</v>
      </c>
      <c r="G594" t="s">
        <v>27</v>
      </c>
      <c r="H594">
        <v>0</v>
      </c>
      <c r="I594">
        <v>0</v>
      </c>
      <c r="J594">
        <v>0</v>
      </c>
      <c r="K594">
        <v>1</v>
      </c>
      <c r="L594">
        <v>0</v>
      </c>
    </row>
    <row r="595" spans="1:12" x14ac:dyDescent="0.35">
      <c r="A595" t="s">
        <v>146</v>
      </c>
      <c r="B595" s="7">
        <v>43728.490011574075</v>
      </c>
      <c r="C595" t="s">
        <v>108</v>
      </c>
      <c r="D595" t="s">
        <v>34</v>
      </c>
      <c r="E595">
        <v>1</v>
      </c>
      <c r="F595" t="s">
        <v>505</v>
      </c>
      <c r="G595" t="s">
        <v>27</v>
      </c>
      <c r="H595">
        <v>0</v>
      </c>
      <c r="I595">
        <v>0</v>
      </c>
      <c r="J595">
        <v>1</v>
      </c>
      <c r="K595">
        <v>0</v>
      </c>
      <c r="L595">
        <v>0</v>
      </c>
    </row>
    <row r="596" spans="1:12" x14ac:dyDescent="0.35">
      <c r="A596" t="s">
        <v>147</v>
      </c>
      <c r="B596" s="7">
        <v>43728.492222222223</v>
      </c>
      <c r="C596" t="s">
        <v>85</v>
      </c>
      <c r="D596" t="s">
        <v>34</v>
      </c>
      <c r="E596">
        <v>1</v>
      </c>
      <c r="F596" t="s">
        <v>505</v>
      </c>
      <c r="G596" t="s">
        <v>27</v>
      </c>
      <c r="H596">
        <v>0</v>
      </c>
      <c r="I596">
        <v>0</v>
      </c>
      <c r="J596">
        <v>0</v>
      </c>
      <c r="K596">
        <v>1</v>
      </c>
      <c r="L596">
        <v>0</v>
      </c>
    </row>
    <row r="597" spans="1:12" x14ac:dyDescent="0.35">
      <c r="A597" t="s">
        <v>148</v>
      </c>
      <c r="B597" s="7">
        <v>43728.492268518516</v>
      </c>
      <c r="C597" t="s">
        <v>24</v>
      </c>
      <c r="D597" t="s">
        <v>32</v>
      </c>
      <c r="E597">
        <v>1</v>
      </c>
      <c r="F597" t="s">
        <v>505</v>
      </c>
      <c r="G597" t="s">
        <v>27</v>
      </c>
      <c r="H597">
        <v>1</v>
      </c>
      <c r="I597">
        <v>0</v>
      </c>
      <c r="J597">
        <v>0</v>
      </c>
      <c r="K597">
        <v>0</v>
      </c>
      <c r="L597">
        <v>0</v>
      </c>
    </row>
    <row r="598" spans="1:12" x14ac:dyDescent="0.35">
      <c r="A598" t="s">
        <v>149</v>
      </c>
      <c r="B598" s="7">
        <v>43728.492291666669</v>
      </c>
      <c r="C598" t="s">
        <v>24</v>
      </c>
      <c r="D598" t="s">
        <v>34</v>
      </c>
      <c r="E598">
        <v>1</v>
      </c>
      <c r="F598" t="s">
        <v>505</v>
      </c>
      <c r="G598" t="s">
        <v>27</v>
      </c>
      <c r="H598">
        <v>1</v>
      </c>
      <c r="I598">
        <v>0</v>
      </c>
      <c r="J598">
        <v>0</v>
      </c>
      <c r="K598">
        <v>0</v>
      </c>
      <c r="L598">
        <v>0</v>
      </c>
    </row>
    <row r="599" spans="1:12" x14ac:dyDescent="0.35">
      <c r="A599" t="s">
        <v>149</v>
      </c>
      <c r="B599" s="7">
        <v>43728.492291666669</v>
      </c>
      <c r="C599" t="s">
        <v>24</v>
      </c>
      <c r="D599" t="s">
        <v>31</v>
      </c>
      <c r="E599">
        <v>1</v>
      </c>
      <c r="F599" t="s">
        <v>505</v>
      </c>
      <c r="G599" t="s">
        <v>27</v>
      </c>
      <c r="H599">
        <v>1</v>
      </c>
      <c r="I599">
        <v>0</v>
      </c>
      <c r="J599">
        <v>0</v>
      </c>
      <c r="K599">
        <v>0</v>
      </c>
      <c r="L599">
        <v>0</v>
      </c>
    </row>
    <row r="600" spans="1:12" x14ac:dyDescent="0.35">
      <c r="A600" t="s">
        <v>150</v>
      </c>
      <c r="B600" s="7">
        <v>43728.492326388892</v>
      </c>
      <c r="C600" t="s">
        <v>24</v>
      </c>
      <c r="D600" t="s">
        <v>34</v>
      </c>
      <c r="E600">
        <v>1</v>
      </c>
      <c r="F600" t="s">
        <v>505</v>
      </c>
      <c r="G600" t="s">
        <v>27</v>
      </c>
      <c r="H600">
        <v>1</v>
      </c>
      <c r="I600">
        <v>0</v>
      </c>
      <c r="J600">
        <v>0</v>
      </c>
      <c r="K600">
        <v>0</v>
      </c>
      <c r="L600">
        <v>0</v>
      </c>
    </row>
    <row r="601" spans="1:12" x14ac:dyDescent="0.35">
      <c r="A601" t="s">
        <v>151</v>
      </c>
      <c r="B601" s="7">
        <v>43728.493460648147</v>
      </c>
      <c r="C601" t="s">
        <v>85</v>
      </c>
      <c r="D601" t="s">
        <v>34</v>
      </c>
      <c r="E601">
        <v>1</v>
      </c>
      <c r="F601" t="s">
        <v>505</v>
      </c>
      <c r="G601" t="s">
        <v>27</v>
      </c>
      <c r="H601">
        <v>0</v>
      </c>
      <c r="I601">
        <v>0</v>
      </c>
      <c r="J601">
        <v>0</v>
      </c>
      <c r="K601">
        <v>1</v>
      </c>
      <c r="L601">
        <v>0</v>
      </c>
    </row>
    <row r="602" spans="1:12" x14ac:dyDescent="0.35">
      <c r="A602" t="s">
        <v>152</v>
      </c>
      <c r="B602" s="7">
        <v>43728.49391203704</v>
      </c>
      <c r="C602" t="s">
        <v>85</v>
      </c>
      <c r="D602" t="s">
        <v>34</v>
      </c>
      <c r="E602">
        <v>1</v>
      </c>
      <c r="F602" t="s">
        <v>505</v>
      </c>
      <c r="G602" t="s">
        <v>27</v>
      </c>
      <c r="H602">
        <v>0</v>
      </c>
      <c r="I602">
        <v>0</v>
      </c>
      <c r="J602">
        <v>0</v>
      </c>
      <c r="K602">
        <v>1</v>
      </c>
      <c r="L602">
        <v>0</v>
      </c>
    </row>
    <row r="603" spans="1:12" x14ac:dyDescent="0.35">
      <c r="A603" t="s">
        <v>153</v>
      </c>
      <c r="B603" s="7">
        <v>43728.494502314818</v>
      </c>
      <c r="C603" t="s">
        <v>85</v>
      </c>
      <c r="D603" t="s">
        <v>34</v>
      </c>
      <c r="E603">
        <v>1</v>
      </c>
      <c r="F603" t="s">
        <v>505</v>
      </c>
      <c r="G603" t="s">
        <v>27</v>
      </c>
      <c r="H603">
        <v>0</v>
      </c>
      <c r="I603">
        <v>0</v>
      </c>
      <c r="J603">
        <v>0</v>
      </c>
      <c r="K603">
        <v>1</v>
      </c>
      <c r="L603">
        <v>0</v>
      </c>
    </row>
    <row r="604" spans="1:12" x14ac:dyDescent="0.35">
      <c r="A604" t="s">
        <v>154</v>
      </c>
      <c r="B604" s="7">
        <v>43728.495173611111</v>
      </c>
      <c r="C604" t="s">
        <v>85</v>
      </c>
      <c r="D604" t="s">
        <v>34</v>
      </c>
      <c r="E604">
        <v>1</v>
      </c>
      <c r="F604" t="s">
        <v>505</v>
      </c>
      <c r="G604" t="s">
        <v>27</v>
      </c>
      <c r="H604">
        <v>0</v>
      </c>
      <c r="I604">
        <v>0</v>
      </c>
      <c r="J604">
        <v>0</v>
      </c>
      <c r="K604">
        <v>1</v>
      </c>
      <c r="L604">
        <v>0</v>
      </c>
    </row>
    <row r="605" spans="1:12" x14ac:dyDescent="0.35">
      <c r="A605" t="s">
        <v>155</v>
      </c>
      <c r="B605" s="7">
        <v>43728.496342592596</v>
      </c>
      <c r="C605" t="s">
        <v>85</v>
      </c>
      <c r="D605" t="s">
        <v>34</v>
      </c>
      <c r="E605">
        <v>1</v>
      </c>
      <c r="F605" t="s">
        <v>505</v>
      </c>
      <c r="G605" t="s">
        <v>27</v>
      </c>
      <c r="H605">
        <v>0</v>
      </c>
      <c r="I605">
        <v>0</v>
      </c>
      <c r="J605">
        <v>0</v>
      </c>
      <c r="K605">
        <v>1</v>
      </c>
      <c r="L605">
        <v>0</v>
      </c>
    </row>
    <row r="606" spans="1:12" x14ac:dyDescent="0.35">
      <c r="A606" t="s">
        <v>156</v>
      </c>
      <c r="B606" s="7">
        <v>43728.496412037035</v>
      </c>
      <c r="C606" t="s">
        <v>24</v>
      </c>
      <c r="D606" t="s">
        <v>31</v>
      </c>
      <c r="E606">
        <v>1</v>
      </c>
      <c r="F606" t="s">
        <v>505</v>
      </c>
      <c r="G606" t="s">
        <v>27</v>
      </c>
      <c r="H606">
        <v>1</v>
      </c>
      <c r="I606">
        <v>0</v>
      </c>
      <c r="J606">
        <v>0</v>
      </c>
      <c r="K606">
        <v>0</v>
      </c>
      <c r="L606">
        <v>0</v>
      </c>
    </row>
    <row r="607" spans="1:12" x14ac:dyDescent="0.35">
      <c r="A607" t="s">
        <v>157</v>
      </c>
      <c r="B607" s="7">
        <v>43728.496435185189</v>
      </c>
      <c r="C607" t="s">
        <v>24</v>
      </c>
      <c r="D607" t="s">
        <v>62</v>
      </c>
      <c r="E607">
        <v>1</v>
      </c>
      <c r="F607" t="s">
        <v>505</v>
      </c>
      <c r="G607" t="s">
        <v>27</v>
      </c>
      <c r="H607">
        <v>1</v>
      </c>
      <c r="I607">
        <v>0</v>
      </c>
      <c r="J607">
        <v>0</v>
      </c>
      <c r="K607">
        <v>0</v>
      </c>
      <c r="L607">
        <v>0</v>
      </c>
    </row>
    <row r="608" spans="1:12" x14ac:dyDescent="0.35">
      <c r="A608" t="s">
        <v>158</v>
      </c>
      <c r="B608" s="7">
        <v>43728.496458333335</v>
      </c>
      <c r="C608" t="s">
        <v>24</v>
      </c>
      <c r="D608" t="s">
        <v>136</v>
      </c>
      <c r="E608">
        <v>1</v>
      </c>
      <c r="F608" t="s">
        <v>505</v>
      </c>
      <c r="G608" t="s">
        <v>27</v>
      </c>
      <c r="H608">
        <v>1</v>
      </c>
      <c r="I608">
        <v>0</v>
      </c>
      <c r="J608">
        <v>0</v>
      </c>
      <c r="K608">
        <v>0</v>
      </c>
      <c r="L608">
        <v>0</v>
      </c>
    </row>
    <row r="609" spans="1:12" x14ac:dyDescent="0.35">
      <c r="A609" t="s">
        <v>159</v>
      </c>
      <c r="B609" s="7">
        <v>43728.496666666666</v>
      </c>
      <c r="C609" t="s">
        <v>24</v>
      </c>
      <c r="D609" t="s">
        <v>75</v>
      </c>
      <c r="E609">
        <v>1</v>
      </c>
      <c r="F609" t="s">
        <v>505</v>
      </c>
      <c r="G609" t="s">
        <v>27</v>
      </c>
      <c r="H609">
        <v>1</v>
      </c>
      <c r="I609">
        <v>0</v>
      </c>
      <c r="J609">
        <v>0</v>
      </c>
      <c r="K609">
        <v>0</v>
      </c>
      <c r="L609">
        <v>0</v>
      </c>
    </row>
    <row r="610" spans="1:12" x14ac:dyDescent="0.35">
      <c r="A610" t="s">
        <v>159</v>
      </c>
      <c r="B610" s="7">
        <v>43728.496666666666</v>
      </c>
      <c r="C610" t="s">
        <v>24</v>
      </c>
      <c r="D610" t="s">
        <v>136</v>
      </c>
      <c r="E610">
        <v>1</v>
      </c>
      <c r="F610" t="s">
        <v>505</v>
      </c>
      <c r="G610" t="s">
        <v>27</v>
      </c>
      <c r="H610">
        <v>1</v>
      </c>
      <c r="I610">
        <v>0</v>
      </c>
      <c r="J610">
        <v>0</v>
      </c>
      <c r="K610">
        <v>0</v>
      </c>
      <c r="L610">
        <v>0</v>
      </c>
    </row>
    <row r="611" spans="1:12" x14ac:dyDescent="0.35">
      <c r="A611" t="s">
        <v>160</v>
      </c>
      <c r="B611" s="7">
        <v>43728.49690972222</v>
      </c>
      <c r="C611" t="s">
        <v>85</v>
      </c>
      <c r="D611" t="s">
        <v>136</v>
      </c>
      <c r="E611">
        <v>1</v>
      </c>
      <c r="F611" t="s">
        <v>505</v>
      </c>
      <c r="G611" t="s">
        <v>27</v>
      </c>
      <c r="H611">
        <v>0</v>
      </c>
      <c r="I611">
        <v>0</v>
      </c>
      <c r="J611">
        <v>0</v>
      </c>
      <c r="K611">
        <v>1</v>
      </c>
      <c r="L611">
        <v>0</v>
      </c>
    </row>
    <row r="612" spans="1:12" x14ac:dyDescent="0.35">
      <c r="A612" t="s">
        <v>161</v>
      </c>
      <c r="B612" s="7">
        <v>43728.501504629632</v>
      </c>
      <c r="C612" t="s">
        <v>85</v>
      </c>
      <c r="D612" t="s">
        <v>136</v>
      </c>
      <c r="E612">
        <v>1</v>
      </c>
      <c r="F612" t="s">
        <v>505</v>
      </c>
      <c r="G612" t="s">
        <v>27</v>
      </c>
      <c r="H612">
        <v>0</v>
      </c>
      <c r="I612">
        <v>0</v>
      </c>
      <c r="J612">
        <v>0</v>
      </c>
      <c r="K612">
        <v>1</v>
      </c>
      <c r="L612">
        <v>0</v>
      </c>
    </row>
    <row r="613" spans="1:12" x14ac:dyDescent="0.35">
      <c r="A613" t="s">
        <v>162</v>
      </c>
      <c r="B613" s="7">
        <v>43728.502604166664</v>
      </c>
      <c r="C613" t="s">
        <v>85</v>
      </c>
      <c r="D613" t="s">
        <v>136</v>
      </c>
      <c r="E613">
        <v>1</v>
      </c>
      <c r="F613" t="s">
        <v>505</v>
      </c>
      <c r="G613" t="s">
        <v>27</v>
      </c>
      <c r="H613">
        <v>0</v>
      </c>
      <c r="I613">
        <v>0</v>
      </c>
      <c r="J613">
        <v>0</v>
      </c>
      <c r="K613">
        <v>1</v>
      </c>
      <c r="L613">
        <v>0</v>
      </c>
    </row>
    <row r="614" spans="1:12" x14ac:dyDescent="0.35">
      <c r="A614" t="s">
        <v>163</v>
      </c>
      <c r="B614" s="7">
        <v>43728.502824074072</v>
      </c>
      <c r="C614" t="s">
        <v>85</v>
      </c>
      <c r="D614" t="s">
        <v>136</v>
      </c>
      <c r="E614">
        <v>1</v>
      </c>
      <c r="F614" t="s">
        <v>505</v>
      </c>
      <c r="G614" t="s">
        <v>27</v>
      </c>
      <c r="H614">
        <v>0</v>
      </c>
      <c r="I614">
        <v>0</v>
      </c>
      <c r="J614">
        <v>0</v>
      </c>
      <c r="K614">
        <v>1</v>
      </c>
      <c r="L614">
        <v>0</v>
      </c>
    </row>
    <row r="615" spans="1:12" x14ac:dyDescent="0.35">
      <c r="A615" t="s">
        <v>164</v>
      </c>
      <c r="B615" s="7">
        <v>43728.503171296295</v>
      </c>
      <c r="C615" t="s">
        <v>85</v>
      </c>
      <c r="D615" t="s">
        <v>136</v>
      </c>
      <c r="E615">
        <v>1</v>
      </c>
      <c r="F615" t="s">
        <v>505</v>
      </c>
      <c r="G615" t="s">
        <v>27</v>
      </c>
      <c r="H615">
        <v>0</v>
      </c>
      <c r="I615">
        <v>0</v>
      </c>
      <c r="J615">
        <v>0</v>
      </c>
      <c r="K615">
        <v>1</v>
      </c>
      <c r="L615">
        <v>0</v>
      </c>
    </row>
    <row r="616" spans="1:12" x14ac:dyDescent="0.35">
      <c r="A616" t="s">
        <v>380</v>
      </c>
      <c r="B616" s="7">
        <v>43728.551562499997</v>
      </c>
      <c r="C616" t="s">
        <v>24</v>
      </c>
      <c r="D616" t="s">
        <v>238</v>
      </c>
      <c r="E616">
        <v>1</v>
      </c>
      <c r="F616" t="s">
        <v>230</v>
      </c>
      <c r="G616" t="s">
        <v>231</v>
      </c>
      <c r="H616">
        <v>1</v>
      </c>
      <c r="I616">
        <v>0</v>
      </c>
      <c r="J616">
        <v>0</v>
      </c>
      <c r="K616">
        <v>0</v>
      </c>
      <c r="L616">
        <v>0</v>
      </c>
    </row>
    <row r="617" spans="1:12" x14ac:dyDescent="0.35">
      <c r="A617" t="s">
        <v>381</v>
      </c>
      <c r="B617" s="7">
        <v>43728.551562499997</v>
      </c>
      <c r="C617" t="s">
        <v>228</v>
      </c>
      <c r="D617" t="s">
        <v>235</v>
      </c>
      <c r="E617">
        <v>1</v>
      </c>
      <c r="F617" t="s">
        <v>230</v>
      </c>
      <c r="G617" t="s">
        <v>231</v>
      </c>
      <c r="H617">
        <v>0</v>
      </c>
      <c r="I617">
        <v>1</v>
      </c>
      <c r="J617">
        <v>0</v>
      </c>
      <c r="K617">
        <v>0</v>
      </c>
      <c r="L617">
        <v>0</v>
      </c>
    </row>
    <row r="618" spans="1:12" x14ac:dyDescent="0.35">
      <c r="A618" t="s">
        <v>380</v>
      </c>
      <c r="B618" s="7">
        <v>43728.551562499997</v>
      </c>
      <c r="C618" t="s">
        <v>24</v>
      </c>
      <c r="D618" t="s">
        <v>233</v>
      </c>
      <c r="E618">
        <v>1</v>
      </c>
      <c r="F618" t="s">
        <v>249</v>
      </c>
      <c r="G618" t="s">
        <v>231</v>
      </c>
      <c r="H618">
        <v>1</v>
      </c>
      <c r="I618">
        <v>0</v>
      </c>
      <c r="J618">
        <v>0</v>
      </c>
      <c r="K618">
        <v>0</v>
      </c>
      <c r="L618">
        <v>0</v>
      </c>
    </row>
    <row r="619" spans="1:12" x14ac:dyDescent="0.35">
      <c r="A619" t="s">
        <v>382</v>
      </c>
      <c r="B619" s="7">
        <v>43728.551562499997</v>
      </c>
      <c r="C619" t="s">
        <v>108</v>
      </c>
      <c r="D619" t="s">
        <v>34</v>
      </c>
      <c r="E619">
        <v>1</v>
      </c>
      <c r="F619" t="s">
        <v>236</v>
      </c>
      <c r="G619" t="s">
        <v>237</v>
      </c>
      <c r="H619">
        <v>0</v>
      </c>
      <c r="I619">
        <v>0</v>
      </c>
      <c r="J619">
        <v>1</v>
      </c>
      <c r="K619">
        <v>0</v>
      </c>
      <c r="L619">
        <v>0</v>
      </c>
    </row>
    <row r="620" spans="1:12" x14ac:dyDescent="0.35">
      <c r="A620" t="s">
        <v>383</v>
      </c>
      <c r="B620" s="7">
        <v>43728.551562499997</v>
      </c>
      <c r="C620" t="s">
        <v>85</v>
      </c>
      <c r="D620" t="s">
        <v>235</v>
      </c>
      <c r="E620">
        <v>1</v>
      </c>
      <c r="F620" t="s">
        <v>236</v>
      </c>
      <c r="G620" t="s">
        <v>237</v>
      </c>
      <c r="H620">
        <v>0</v>
      </c>
      <c r="I620">
        <v>0</v>
      </c>
      <c r="J620">
        <v>0</v>
      </c>
      <c r="K620">
        <v>1</v>
      </c>
      <c r="L620">
        <v>0</v>
      </c>
    </row>
    <row r="621" spans="1:12" x14ac:dyDescent="0.35">
      <c r="A621" t="s">
        <v>380</v>
      </c>
      <c r="B621" s="7">
        <v>43728.551562499997</v>
      </c>
      <c r="C621" t="s">
        <v>24</v>
      </c>
      <c r="D621" t="s">
        <v>235</v>
      </c>
      <c r="E621">
        <v>1</v>
      </c>
      <c r="F621" t="s">
        <v>236</v>
      </c>
      <c r="G621" t="s">
        <v>237</v>
      </c>
      <c r="H621">
        <v>1</v>
      </c>
      <c r="I621">
        <v>0</v>
      </c>
      <c r="J621">
        <v>0</v>
      </c>
      <c r="K621">
        <v>0</v>
      </c>
      <c r="L621">
        <v>0</v>
      </c>
    </row>
    <row r="622" spans="1:12" x14ac:dyDescent="0.35">
      <c r="A622" t="s">
        <v>383</v>
      </c>
      <c r="B622" s="7">
        <v>43728.551562499997</v>
      </c>
      <c r="C622" t="s">
        <v>85</v>
      </c>
      <c r="D622" t="s">
        <v>34</v>
      </c>
      <c r="E622">
        <v>1</v>
      </c>
      <c r="F622" t="s">
        <v>239</v>
      </c>
      <c r="G622" t="s">
        <v>237</v>
      </c>
      <c r="H622">
        <v>0</v>
      </c>
      <c r="I622">
        <v>0</v>
      </c>
      <c r="J622">
        <v>0</v>
      </c>
      <c r="K622">
        <v>1</v>
      </c>
      <c r="L622">
        <v>0</v>
      </c>
    </row>
    <row r="623" spans="1:12" x14ac:dyDescent="0.35">
      <c r="A623" t="s">
        <v>380</v>
      </c>
      <c r="B623" s="7">
        <v>43728.551562499997</v>
      </c>
      <c r="C623" t="s">
        <v>24</v>
      </c>
      <c r="D623" t="s">
        <v>229</v>
      </c>
      <c r="E623">
        <v>1</v>
      </c>
      <c r="F623" t="s">
        <v>239</v>
      </c>
      <c r="G623" t="s">
        <v>237</v>
      </c>
      <c r="H623">
        <v>1</v>
      </c>
      <c r="I623">
        <v>0</v>
      </c>
      <c r="J623">
        <v>0</v>
      </c>
      <c r="K623">
        <v>0</v>
      </c>
      <c r="L623">
        <v>0</v>
      </c>
    </row>
    <row r="624" spans="1:12" x14ac:dyDescent="0.35">
      <c r="A624" t="s">
        <v>381</v>
      </c>
      <c r="B624" s="7">
        <v>43728.551562499997</v>
      </c>
      <c r="C624" t="s">
        <v>228</v>
      </c>
      <c r="D624" t="s">
        <v>238</v>
      </c>
      <c r="E624">
        <v>1</v>
      </c>
      <c r="F624" t="s">
        <v>240</v>
      </c>
      <c r="G624" t="s">
        <v>237</v>
      </c>
      <c r="H624">
        <v>0</v>
      </c>
      <c r="I624">
        <v>1</v>
      </c>
      <c r="J624">
        <v>0</v>
      </c>
      <c r="K624">
        <v>0</v>
      </c>
      <c r="L624">
        <v>0</v>
      </c>
    </row>
    <row r="625" spans="1:12" x14ac:dyDescent="0.35">
      <c r="A625" t="s">
        <v>380</v>
      </c>
      <c r="B625" s="7">
        <v>43728.551562499997</v>
      </c>
      <c r="C625" t="s">
        <v>24</v>
      </c>
      <c r="D625" t="s">
        <v>229</v>
      </c>
      <c r="E625">
        <v>1</v>
      </c>
      <c r="F625" t="s">
        <v>240</v>
      </c>
      <c r="G625" t="s">
        <v>237</v>
      </c>
      <c r="H625">
        <v>1</v>
      </c>
      <c r="I625">
        <v>0</v>
      </c>
      <c r="J625">
        <v>0</v>
      </c>
      <c r="K625">
        <v>0</v>
      </c>
      <c r="L625">
        <v>0</v>
      </c>
    </row>
    <row r="626" spans="1:12" x14ac:dyDescent="0.35">
      <c r="A626" t="s">
        <v>380</v>
      </c>
      <c r="B626" s="7">
        <v>43728.551562499997</v>
      </c>
      <c r="C626" t="s">
        <v>24</v>
      </c>
      <c r="D626" t="s">
        <v>31</v>
      </c>
      <c r="E626">
        <v>1</v>
      </c>
      <c r="F626" t="s">
        <v>240</v>
      </c>
      <c r="G626" t="s">
        <v>237</v>
      </c>
      <c r="H626">
        <v>1</v>
      </c>
      <c r="I626">
        <v>0</v>
      </c>
      <c r="J626">
        <v>0</v>
      </c>
      <c r="K626">
        <v>0</v>
      </c>
      <c r="L626">
        <v>0</v>
      </c>
    </row>
    <row r="627" spans="1:12" x14ac:dyDescent="0.35">
      <c r="A627" t="s">
        <v>380</v>
      </c>
      <c r="B627" s="7">
        <v>43728.551562499997</v>
      </c>
      <c r="C627" t="s">
        <v>24</v>
      </c>
      <c r="D627" t="s">
        <v>31</v>
      </c>
      <c r="E627">
        <v>1</v>
      </c>
      <c r="F627" t="s">
        <v>240</v>
      </c>
      <c r="G627" t="s">
        <v>237</v>
      </c>
      <c r="H627">
        <v>1</v>
      </c>
      <c r="I627">
        <v>0</v>
      </c>
      <c r="J627">
        <v>0</v>
      </c>
      <c r="K627">
        <v>0</v>
      </c>
      <c r="L627">
        <v>0</v>
      </c>
    </row>
    <row r="628" spans="1:12" x14ac:dyDescent="0.35">
      <c r="A628" t="s">
        <v>380</v>
      </c>
      <c r="B628" s="7">
        <v>43728.551562499997</v>
      </c>
      <c r="C628" t="s">
        <v>24</v>
      </c>
      <c r="D628" t="s">
        <v>34</v>
      </c>
      <c r="E628">
        <v>1</v>
      </c>
      <c r="F628" t="s">
        <v>242</v>
      </c>
      <c r="G628" t="s">
        <v>231</v>
      </c>
      <c r="H628">
        <v>1</v>
      </c>
      <c r="I628">
        <v>0</v>
      </c>
      <c r="J628">
        <v>0</v>
      </c>
      <c r="K628">
        <v>0</v>
      </c>
      <c r="L628">
        <v>0</v>
      </c>
    </row>
    <row r="629" spans="1:12" x14ac:dyDescent="0.35">
      <c r="A629" t="s">
        <v>381</v>
      </c>
      <c r="B629" s="7">
        <v>43728.551562499997</v>
      </c>
      <c r="C629" t="s">
        <v>228</v>
      </c>
      <c r="D629" t="s">
        <v>238</v>
      </c>
      <c r="E629">
        <v>1</v>
      </c>
      <c r="F629" t="s">
        <v>242</v>
      </c>
      <c r="G629" t="s">
        <v>231</v>
      </c>
      <c r="H629">
        <v>0</v>
      </c>
      <c r="I629">
        <v>1</v>
      </c>
      <c r="J629">
        <v>0</v>
      </c>
      <c r="K629">
        <v>0</v>
      </c>
      <c r="L629">
        <v>0</v>
      </c>
    </row>
    <row r="630" spans="1:12" x14ac:dyDescent="0.35">
      <c r="A630" t="s">
        <v>165</v>
      </c>
      <c r="B630" s="7">
        <v>43728.843807870369</v>
      </c>
      <c r="C630" t="s">
        <v>108</v>
      </c>
      <c r="D630" t="s">
        <v>136</v>
      </c>
      <c r="E630">
        <v>1</v>
      </c>
      <c r="F630" t="s">
        <v>505</v>
      </c>
      <c r="G630" t="s">
        <v>27</v>
      </c>
      <c r="H630">
        <v>0</v>
      </c>
      <c r="I630">
        <v>0</v>
      </c>
      <c r="J630">
        <v>1</v>
      </c>
      <c r="K630">
        <v>0</v>
      </c>
      <c r="L630">
        <v>0</v>
      </c>
    </row>
    <row r="631" spans="1:12" x14ac:dyDescent="0.35">
      <c r="A631" t="s">
        <v>166</v>
      </c>
      <c r="B631" s="7">
        <v>43728.843912037039</v>
      </c>
      <c r="C631" t="s">
        <v>24</v>
      </c>
      <c r="D631" t="s">
        <v>31</v>
      </c>
      <c r="E631">
        <v>1</v>
      </c>
      <c r="F631" t="s">
        <v>505</v>
      </c>
      <c r="G631" t="s">
        <v>27</v>
      </c>
      <c r="H631">
        <v>1</v>
      </c>
      <c r="I631">
        <v>0</v>
      </c>
      <c r="J631">
        <v>0</v>
      </c>
      <c r="K631">
        <v>0</v>
      </c>
      <c r="L631">
        <v>0</v>
      </c>
    </row>
    <row r="632" spans="1:12" x14ac:dyDescent="0.35">
      <c r="A632" t="s">
        <v>167</v>
      </c>
      <c r="B632" s="7">
        <v>43728.843923611108</v>
      </c>
      <c r="C632" t="s">
        <v>24</v>
      </c>
      <c r="D632" t="s">
        <v>62</v>
      </c>
      <c r="E632">
        <v>1</v>
      </c>
      <c r="F632" t="s">
        <v>505</v>
      </c>
      <c r="G632" t="s">
        <v>27</v>
      </c>
      <c r="H632">
        <v>1</v>
      </c>
      <c r="I632">
        <v>0</v>
      </c>
      <c r="J632">
        <v>0</v>
      </c>
      <c r="K632">
        <v>0</v>
      </c>
      <c r="L632">
        <v>0</v>
      </c>
    </row>
    <row r="633" spans="1:12" x14ac:dyDescent="0.35">
      <c r="A633" t="s">
        <v>168</v>
      </c>
      <c r="B633" s="7">
        <v>43728.843935185185</v>
      </c>
      <c r="C633" t="s">
        <v>24</v>
      </c>
      <c r="D633" t="s">
        <v>136</v>
      </c>
      <c r="E633">
        <v>1</v>
      </c>
      <c r="F633" t="s">
        <v>505</v>
      </c>
      <c r="G633" t="s">
        <v>27</v>
      </c>
      <c r="H633">
        <v>1</v>
      </c>
      <c r="I633">
        <v>0</v>
      </c>
      <c r="J633">
        <v>0</v>
      </c>
      <c r="K633">
        <v>0</v>
      </c>
      <c r="L633">
        <v>0</v>
      </c>
    </row>
    <row r="634" spans="1:12" x14ac:dyDescent="0.35">
      <c r="A634" t="s">
        <v>169</v>
      </c>
      <c r="B634" s="7">
        <v>43728.844085648147</v>
      </c>
      <c r="C634" t="s">
        <v>24</v>
      </c>
      <c r="D634" t="s">
        <v>96</v>
      </c>
      <c r="E634">
        <v>1</v>
      </c>
      <c r="F634" t="s">
        <v>505</v>
      </c>
      <c r="G634" t="s">
        <v>27</v>
      </c>
      <c r="H634">
        <v>1</v>
      </c>
      <c r="I634">
        <v>0</v>
      </c>
      <c r="J634">
        <v>0</v>
      </c>
      <c r="K634">
        <v>0</v>
      </c>
      <c r="L634">
        <v>0</v>
      </c>
    </row>
    <row r="635" spans="1:12" x14ac:dyDescent="0.35">
      <c r="A635" t="s">
        <v>170</v>
      </c>
      <c r="B635" s="7">
        <v>43728.84412037037</v>
      </c>
      <c r="C635" t="s">
        <v>24</v>
      </c>
      <c r="D635" t="s">
        <v>75</v>
      </c>
      <c r="E635">
        <v>1</v>
      </c>
      <c r="F635" t="s">
        <v>505</v>
      </c>
      <c r="G635" t="s">
        <v>27</v>
      </c>
      <c r="H635">
        <v>1</v>
      </c>
      <c r="I635">
        <v>0</v>
      </c>
      <c r="J635">
        <v>0</v>
      </c>
      <c r="K635">
        <v>0</v>
      </c>
      <c r="L635">
        <v>0</v>
      </c>
    </row>
    <row r="636" spans="1:12" x14ac:dyDescent="0.35">
      <c r="A636" t="s">
        <v>171</v>
      </c>
      <c r="B636" s="7">
        <v>43728.844131944446</v>
      </c>
      <c r="C636" t="s">
        <v>24</v>
      </c>
      <c r="D636" t="s">
        <v>62</v>
      </c>
      <c r="E636">
        <v>1</v>
      </c>
      <c r="F636" t="s">
        <v>505</v>
      </c>
      <c r="G636" t="s">
        <v>27</v>
      </c>
      <c r="H636">
        <v>1</v>
      </c>
      <c r="I636">
        <v>0</v>
      </c>
      <c r="J636">
        <v>0</v>
      </c>
      <c r="K636">
        <v>0</v>
      </c>
      <c r="L636">
        <v>0</v>
      </c>
    </row>
    <row r="637" spans="1:12" x14ac:dyDescent="0.35">
      <c r="A637" t="s">
        <v>172</v>
      </c>
      <c r="B637" s="7">
        <v>43728.844155092593</v>
      </c>
      <c r="C637" t="s">
        <v>24</v>
      </c>
      <c r="D637" t="s">
        <v>136</v>
      </c>
      <c r="E637">
        <v>1</v>
      </c>
      <c r="F637" t="s">
        <v>505</v>
      </c>
      <c r="G637" t="s">
        <v>27</v>
      </c>
      <c r="H637">
        <v>1</v>
      </c>
      <c r="I637">
        <v>0</v>
      </c>
      <c r="J637">
        <v>0</v>
      </c>
      <c r="K637">
        <v>0</v>
      </c>
      <c r="L637">
        <v>0</v>
      </c>
    </row>
    <row r="638" spans="1:12" x14ac:dyDescent="0.35">
      <c r="A638" t="s">
        <v>173</v>
      </c>
      <c r="B638" s="7">
        <v>43728.844178240739</v>
      </c>
      <c r="C638" t="s">
        <v>24</v>
      </c>
      <c r="D638" t="s">
        <v>31</v>
      </c>
      <c r="E638">
        <v>1</v>
      </c>
      <c r="F638" t="s">
        <v>505</v>
      </c>
      <c r="G638" t="s">
        <v>27</v>
      </c>
      <c r="H638">
        <v>1</v>
      </c>
      <c r="I638">
        <v>0</v>
      </c>
      <c r="J638">
        <v>0</v>
      </c>
      <c r="K638">
        <v>0</v>
      </c>
      <c r="L638">
        <v>0</v>
      </c>
    </row>
    <row r="639" spans="1:12" x14ac:dyDescent="0.35">
      <c r="A639" t="s">
        <v>174</v>
      </c>
      <c r="B639" s="7">
        <v>43728.844328703701</v>
      </c>
      <c r="C639" t="s">
        <v>24</v>
      </c>
      <c r="D639" t="s">
        <v>32</v>
      </c>
      <c r="E639">
        <v>1</v>
      </c>
      <c r="F639" t="s">
        <v>505</v>
      </c>
      <c r="G639" t="s">
        <v>27</v>
      </c>
      <c r="H639">
        <v>1</v>
      </c>
      <c r="I639">
        <v>0</v>
      </c>
      <c r="J639">
        <v>0</v>
      </c>
      <c r="K639">
        <v>0</v>
      </c>
      <c r="L639">
        <v>0</v>
      </c>
    </row>
    <row r="640" spans="1:12" x14ac:dyDescent="0.35">
      <c r="A640" t="s">
        <v>175</v>
      </c>
      <c r="B640" s="7">
        <v>43728.844340277778</v>
      </c>
      <c r="C640" t="s">
        <v>24</v>
      </c>
      <c r="D640" t="s">
        <v>34</v>
      </c>
      <c r="E640">
        <v>1</v>
      </c>
      <c r="F640" t="s">
        <v>505</v>
      </c>
      <c r="G640" t="s">
        <v>27</v>
      </c>
      <c r="H640">
        <v>1</v>
      </c>
      <c r="I640">
        <v>0</v>
      </c>
      <c r="J640">
        <v>0</v>
      </c>
      <c r="K640">
        <v>0</v>
      </c>
      <c r="L640">
        <v>0</v>
      </c>
    </row>
    <row r="641" spans="1:12" x14ac:dyDescent="0.35">
      <c r="A641" t="s">
        <v>176</v>
      </c>
      <c r="B641" s="7">
        <v>43728.844351851854</v>
      </c>
      <c r="C641" t="s">
        <v>24</v>
      </c>
      <c r="D641" t="s">
        <v>32</v>
      </c>
      <c r="E641">
        <v>1</v>
      </c>
      <c r="F641" t="s">
        <v>505</v>
      </c>
      <c r="G641" t="s">
        <v>27</v>
      </c>
      <c r="H641">
        <v>1</v>
      </c>
      <c r="I641">
        <v>0</v>
      </c>
      <c r="J641">
        <v>0</v>
      </c>
      <c r="K641">
        <v>0</v>
      </c>
      <c r="L641">
        <v>0</v>
      </c>
    </row>
    <row r="642" spans="1:12" x14ac:dyDescent="0.35">
      <c r="A642" t="s">
        <v>177</v>
      </c>
      <c r="B642" s="7">
        <v>43728.844375000001</v>
      </c>
      <c r="C642" t="s">
        <v>24</v>
      </c>
      <c r="D642" t="s">
        <v>136</v>
      </c>
      <c r="E642">
        <v>1</v>
      </c>
      <c r="F642" t="s">
        <v>505</v>
      </c>
      <c r="G642" t="s">
        <v>27</v>
      </c>
      <c r="H642">
        <v>1</v>
      </c>
      <c r="I642">
        <v>0</v>
      </c>
      <c r="J642">
        <v>0</v>
      </c>
      <c r="K642">
        <v>0</v>
      </c>
      <c r="L642">
        <v>0</v>
      </c>
    </row>
    <row r="643" spans="1:12" x14ac:dyDescent="0.35">
      <c r="A643" t="s">
        <v>178</v>
      </c>
      <c r="B643" s="7">
        <v>43728.844456018516</v>
      </c>
      <c r="C643" t="s">
        <v>24</v>
      </c>
      <c r="D643" t="s">
        <v>62</v>
      </c>
      <c r="E643">
        <v>1</v>
      </c>
      <c r="F643" t="s">
        <v>505</v>
      </c>
      <c r="G643" t="s">
        <v>27</v>
      </c>
      <c r="H643">
        <v>1</v>
      </c>
      <c r="I643">
        <v>0</v>
      </c>
      <c r="J643">
        <v>0</v>
      </c>
      <c r="K643">
        <v>0</v>
      </c>
      <c r="L643">
        <v>0</v>
      </c>
    </row>
    <row r="644" spans="1:12" x14ac:dyDescent="0.35">
      <c r="A644" t="s">
        <v>179</v>
      </c>
      <c r="B644" s="7">
        <v>43728.844490740739</v>
      </c>
      <c r="C644" t="s">
        <v>24</v>
      </c>
      <c r="D644" t="s">
        <v>75</v>
      </c>
      <c r="E644">
        <v>1</v>
      </c>
      <c r="F644" t="s">
        <v>505</v>
      </c>
      <c r="G644" t="s">
        <v>27</v>
      </c>
      <c r="H644">
        <v>1</v>
      </c>
      <c r="I644">
        <v>0</v>
      </c>
      <c r="J644">
        <v>0</v>
      </c>
      <c r="K644">
        <v>0</v>
      </c>
      <c r="L644">
        <v>0</v>
      </c>
    </row>
    <row r="645" spans="1:12" x14ac:dyDescent="0.35">
      <c r="A645" t="s">
        <v>180</v>
      </c>
      <c r="B645" s="7">
        <v>43728.844513888886</v>
      </c>
      <c r="C645" t="s">
        <v>24</v>
      </c>
      <c r="D645" t="s">
        <v>96</v>
      </c>
      <c r="E645">
        <v>1</v>
      </c>
      <c r="F645" t="s">
        <v>505</v>
      </c>
      <c r="G645" t="s">
        <v>27</v>
      </c>
      <c r="H645">
        <v>1</v>
      </c>
      <c r="I645">
        <v>0</v>
      </c>
      <c r="J645">
        <v>0</v>
      </c>
      <c r="K645">
        <v>0</v>
      </c>
      <c r="L645">
        <v>0</v>
      </c>
    </row>
    <row r="646" spans="1:12" x14ac:dyDescent="0.35">
      <c r="A646" t="s">
        <v>181</v>
      </c>
      <c r="B646" s="7">
        <v>43728.844675925924</v>
      </c>
      <c r="C646" t="s">
        <v>24</v>
      </c>
      <c r="D646" t="s">
        <v>136</v>
      </c>
      <c r="E646">
        <v>1</v>
      </c>
      <c r="F646" t="s">
        <v>505</v>
      </c>
      <c r="G646" t="s">
        <v>27</v>
      </c>
      <c r="H646">
        <v>1</v>
      </c>
      <c r="I646">
        <v>0</v>
      </c>
      <c r="J646">
        <v>0</v>
      </c>
      <c r="K646">
        <v>0</v>
      </c>
      <c r="L646">
        <v>0</v>
      </c>
    </row>
    <row r="647" spans="1:12" x14ac:dyDescent="0.35">
      <c r="A647" t="s">
        <v>182</v>
      </c>
      <c r="B647" s="7">
        <v>43728.847638888888</v>
      </c>
      <c r="C647" t="s">
        <v>85</v>
      </c>
      <c r="D647" t="s">
        <v>136</v>
      </c>
      <c r="E647">
        <v>1</v>
      </c>
      <c r="F647" t="s">
        <v>505</v>
      </c>
      <c r="G647" t="s">
        <v>27</v>
      </c>
      <c r="H647">
        <v>0</v>
      </c>
      <c r="I647">
        <v>0</v>
      </c>
      <c r="J647">
        <v>0</v>
      </c>
      <c r="K647">
        <v>1</v>
      </c>
      <c r="L647">
        <v>0</v>
      </c>
    </row>
    <row r="648" spans="1:12" x14ac:dyDescent="0.35">
      <c r="A648" t="s">
        <v>183</v>
      </c>
      <c r="B648" s="7">
        <v>43728.849317129629</v>
      </c>
      <c r="C648" t="s">
        <v>85</v>
      </c>
      <c r="D648" t="s">
        <v>136</v>
      </c>
      <c r="E648">
        <v>1</v>
      </c>
      <c r="F648" t="s">
        <v>505</v>
      </c>
      <c r="G648" t="s">
        <v>27</v>
      </c>
      <c r="H648">
        <v>0</v>
      </c>
      <c r="I648">
        <v>0</v>
      </c>
      <c r="J648">
        <v>0</v>
      </c>
      <c r="K648">
        <v>1</v>
      </c>
      <c r="L648">
        <v>0</v>
      </c>
    </row>
    <row r="649" spans="1:12" x14ac:dyDescent="0.35">
      <c r="A649" t="s">
        <v>184</v>
      </c>
      <c r="B649" s="7">
        <v>43728.85050925926</v>
      </c>
      <c r="C649" t="s">
        <v>85</v>
      </c>
      <c r="D649" t="s">
        <v>136</v>
      </c>
      <c r="E649">
        <v>1</v>
      </c>
      <c r="F649" t="s">
        <v>505</v>
      </c>
      <c r="G649" t="s">
        <v>27</v>
      </c>
      <c r="H649">
        <v>0</v>
      </c>
      <c r="I649">
        <v>0</v>
      </c>
      <c r="J649">
        <v>0</v>
      </c>
      <c r="K649">
        <v>1</v>
      </c>
      <c r="L649">
        <v>0</v>
      </c>
    </row>
    <row r="650" spans="1:12" x14ac:dyDescent="0.35">
      <c r="A650" t="s">
        <v>185</v>
      </c>
      <c r="B650" s="7">
        <v>43728.854120370372</v>
      </c>
      <c r="C650" t="s">
        <v>85</v>
      </c>
      <c r="D650" t="s">
        <v>136</v>
      </c>
      <c r="E650">
        <v>1</v>
      </c>
      <c r="F650" t="s">
        <v>505</v>
      </c>
      <c r="G650" t="s">
        <v>27</v>
      </c>
      <c r="H650">
        <v>0</v>
      </c>
      <c r="I650">
        <v>0</v>
      </c>
      <c r="J650">
        <v>0</v>
      </c>
      <c r="K650">
        <v>1</v>
      </c>
      <c r="L650">
        <v>0</v>
      </c>
    </row>
    <row r="651" spans="1:12" x14ac:dyDescent="0.35">
      <c r="A651" t="s">
        <v>186</v>
      </c>
      <c r="B651" s="7">
        <v>43728.854861111111</v>
      </c>
      <c r="C651" t="s">
        <v>85</v>
      </c>
      <c r="D651" t="s">
        <v>136</v>
      </c>
      <c r="E651">
        <v>1</v>
      </c>
      <c r="F651" t="s">
        <v>505</v>
      </c>
      <c r="G651" t="s">
        <v>27</v>
      </c>
      <c r="H651">
        <v>0</v>
      </c>
      <c r="I651">
        <v>0</v>
      </c>
      <c r="J651">
        <v>0</v>
      </c>
      <c r="K651">
        <v>1</v>
      </c>
      <c r="L651">
        <v>0</v>
      </c>
    </row>
    <row r="652" spans="1:12" x14ac:dyDescent="0.35">
      <c r="A652" t="s">
        <v>187</v>
      </c>
      <c r="B652" s="7">
        <v>43728.855000000003</v>
      </c>
      <c r="C652" t="s">
        <v>53</v>
      </c>
      <c r="D652" t="s">
        <v>47</v>
      </c>
      <c r="E652">
        <v>1</v>
      </c>
      <c r="F652" t="s">
        <v>505</v>
      </c>
      <c r="G652" t="s">
        <v>27</v>
      </c>
      <c r="H652">
        <v>0</v>
      </c>
      <c r="I652">
        <v>0</v>
      </c>
      <c r="J652">
        <v>0</v>
      </c>
      <c r="K652">
        <v>0</v>
      </c>
      <c r="L652">
        <v>0</v>
      </c>
    </row>
    <row r="653" spans="1:12" x14ac:dyDescent="0.35">
      <c r="A653" t="s">
        <v>188</v>
      </c>
      <c r="B653" s="7">
        <v>43728.855000000003</v>
      </c>
      <c r="C653" t="s">
        <v>24</v>
      </c>
      <c r="D653" t="s">
        <v>47</v>
      </c>
      <c r="E653">
        <v>1</v>
      </c>
      <c r="F653" t="s">
        <v>505</v>
      </c>
      <c r="G653" t="s">
        <v>27</v>
      </c>
      <c r="H653">
        <v>1</v>
      </c>
      <c r="I653">
        <v>0</v>
      </c>
      <c r="J653">
        <v>0</v>
      </c>
      <c r="K653">
        <v>0</v>
      </c>
      <c r="L653">
        <v>0</v>
      </c>
    </row>
    <row r="654" spans="1:12" x14ac:dyDescent="0.35">
      <c r="A654" t="s">
        <v>189</v>
      </c>
      <c r="B654" s="7">
        <v>43728.855509259258</v>
      </c>
      <c r="C654" t="s">
        <v>24</v>
      </c>
      <c r="D654" t="s">
        <v>96</v>
      </c>
      <c r="E654">
        <v>1</v>
      </c>
      <c r="F654" t="s">
        <v>505</v>
      </c>
      <c r="G654" t="s">
        <v>27</v>
      </c>
      <c r="H654">
        <v>1</v>
      </c>
      <c r="I654">
        <v>0</v>
      </c>
      <c r="J654">
        <v>0</v>
      </c>
      <c r="K654">
        <v>0</v>
      </c>
      <c r="L654">
        <v>0</v>
      </c>
    </row>
    <row r="655" spans="1:12" x14ac:dyDescent="0.35">
      <c r="A655" t="s">
        <v>190</v>
      </c>
      <c r="B655" s="7">
        <v>43728.856053240743</v>
      </c>
      <c r="C655" t="s">
        <v>85</v>
      </c>
      <c r="D655" t="s">
        <v>96</v>
      </c>
      <c r="E655">
        <v>1</v>
      </c>
      <c r="F655" t="s">
        <v>505</v>
      </c>
      <c r="G655" t="s">
        <v>27</v>
      </c>
      <c r="H655">
        <v>0</v>
      </c>
      <c r="I655">
        <v>0</v>
      </c>
      <c r="J655">
        <v>0</v>
      </c>
      <c r="K655">
        <v>1</v>
      </c>
      <c r="L655">
        <v>0</v>
      </c>
    </row>
    <row r="656" spans="1:12" x14ac:dyDescent="0.35">
      <c r="A656" t="s">
        <v>191</v>
      </c>
      <c r="B656" s="7">
        <v>43728.856087962966</v>
      </c>
      <c r="C656" t="s">
        <v>53</v>
      </c>
      <c r="D656" t="s">
        <v>54</v>
      </c>
      <c r="E656">
        <v>1</v>
      </c>
      <c r="F656" t="s">
        <v>505</v>
      </c>
      <c r="G656" t="s">
        <v>27</v>
      </c>
      <c r="H656">
        <v>0</v>
      </c>
      <c r="I656">
        <v>0</v>
      </c>
      <c r="J656">
        <v>0</v>
      </c>
      <c r="K656">
        <v>0</v>
      </c>
      <c r="L656">
        <v>0</v>
      </c>
    </row>
    <row r="657" spans="1:12" x14ac:dyDescent="0.35">
      <c r="A657" t="s">
        <v>192</v>
      </c>
      <c r="B657" s="7">
        <v>43728.856087962966</v>
      </c>
      <c r="C657" t="s">
        <v>24</v>
      </c>
      <c r="D657" t="s">
        <v>54</v>
      </c>
      <c r="E657">
        <v>1</v>
      </c>
      <c r="F657" t="s">
        <v>505</v>
      </c>
      <c r="G657" t="s">
        <v>27</v>
      </c>
      <c r="H657">
        <v>1</v>
      </c>
      <c r="I657">
        <v>0</v>
      </c>
      <c r="J657">
        <v>0</v>
      </c>
      <c r="K657">
        <v>0</v>
      </c>
      <c r="L657">
        <v>0</v>
      </c>
    </row>
    <row r="658" spans="1:12" x14ac:dyDescent="0.35">
      <c r="A658" t="s">
        <v>193</v>
      </c>
      <c r="B658" s="7">
        <v>43728.857129629629</v>
      </c>
      <c r="C658" t="s">
        <v>85</v>
      </c>
      <c r="D658" t="s">
        <v>54</v>
      </c>
      <c r="E658">
        <v>1</v>
      </c>
      <c r="F658" t="s">
        <v>505</v>
      </c>
      <c r="G658" t="s">
        <v>27</v>
      </c>
      <c r="H658">
        <v>0</v>
      </c>
      <c r="I658">
        <v>0</v>
      </c>
      <c r="J658">
        <v>0</v>
      </c>
      <c r="K658">
        <v>1</v>
      </c>
      <c r="L658">
        <v>0</v>
      </c>
    </row>
    <row r="659" spans="1:12" x14ac:dyDescent="0.35">
      <c r="A659" t="s">
        <v>194</v>
      </c>
      <c r="B659" s="7">
        <v>43728.857164351852</v>
      </c>
      <c r="C659" t="s">
        <v>53</v>
      </c>
      <c r="D659" t="s">
        <v>71</v>
      </c>
      <c r="E659">
        <v>1</v>
      </c>
      <c r="F659" t="s">
        <v>505</v>
      </c>
      <c r="G659" t="s">
        <v>27</v>
      </c>
      <c r="H659">
        <v>0</v>
      </c>
      <c r="I659">
        <v>0</v>
      </c>
      <c r="J659">
        <v>0</v>
      </c>
      <c r="K659">
        <v>0</v>
      </c>
      <c r="L659">
        <v>0</v>
      </c>
    </row>
    <row r="660" spans="1:12" x14ac:dyDescent="0.35">
      <c r="A660" t="s">
        <v>195</v>
      </c>
      <c r="B660" s="7">
        <v>43728.857164351852</v>
      </c>
      <c r="C660" t="s">
        <v>24</v>
      </c>
      <c r="D660" t="s">
        <v>71</v>
      </c>
      <c r="E660">
        <v>1</v>
      </c>
      <c r="F660" t="s">
        <v>505</v>
      </c>
      <c r="G660" t="s">
        <v>27</v>
      </c>
      <c r="H660">
        <v>1</v>
      </c>
      <c r="I660">
        <v>0</v>
      </c>
      <c r="J660">
        <v>0</v>
      </c>
      <c r="K660">
        <v>0</v>
      </c>
      <c r="L660">
        <v>0</v>
      </c>
    </row>
    <row r="661" spans="1:12" x14ac:dyDescent="0.35">
      <c r="A661" t="s">
        <v>196</v>
      </c>
      <c r="B661" s="7">
        <v>43728.85800925926</v>
      </c>
      <c r="C661" t="s">
        <v>85</v>
      </c>
      <c r="D661" t="s">
        <v>71</v>
      </c>
      <c r="E661">
        <v>1</v>
      </c>
      <c r="F661" t="s">
        <v>505</v>
      </c>
      <c r="G661" t="s">
        <v>27</v>
      </c>
      <c r="H661">
        <v>0</v>
      </c>
      <c r="I661">
        <v>0</v>
      </c>
      <c r="J661">
        <v>0</v>
      </c>
      <c r="K661">
        <v>1</v>
      </c>
      <c r="L661">
        <v>0</v>
      </c>
    </row>
    <row r="662" spans="1:12" x14ac:dyDescent="0.35">
      <c r="A662" t="s">
        <v>197</v>
      </c>
      <c r="B662" s="7">
        <v>43728.858506944445</v>
      </c>
      <c r="C662" t="s">
        <v>24</v>
      </c>
      <c r="D662" t="s">
        <v>54</v>
      </c>
      <c r="E662">
        <v>1</v>
      </c>
      <c r="F662" t="s">
        <v>505</v>
      </c>
      <c r="G662" t="s">
        <v>27</v>
      </c>
      <c r="H662">
        <v>1</v>
      </c>
      <c r="I662">
        <v>0</v>
      </c>
      <c r="J662">
        <v>0</v>
      </c>
      <c r="K662">
        <v>0</v>
      </c>
      <c r="L662">
        <v>0</v>
      </c>
    </row>
    <row r="663" spans="1:12" x14ac:dyDescent="0.35">
      <c r="A663" t="s">
        <v>198</v>
      </c>
      <c r="B663" s="7">
        <v>43728.858541666668</v>
      </c>
      <c r="C663" t="s">
        <v>24</v>
      </c>
      <c r="D663" t="s">
        <v>96</v>
      </c>
      <c r="E663">
        <v>1</v>
      </c>
      <c r="F663" t="s">
        <v>505</v>
      </c>
      <c r="G663" t="s">
        <v>27</v>
      </c>
      <c r="H663">
        <v>1</v>
      </c>
      <c r="I663">
        <v>0</v>
      </c>
      <c r="J663">
        <v>0</v>
      </c>
      <c r="K663">
        <v>0</v>
      </c>
      <c r="L663">
        <v>0</v>
      </c>
    </row>
    <row r="664" spans="1:12" x14ac:dyDescent="0.35">
      <c r="A664" t="s">
        <v>199</v>
      </c>
      <c r="B664" s="7">
        <v>43728.858634259261</v>
      </c>
      <c r="C664" t="s">
        <v>85</v>
      </c>
      <c r="D664" t="s">
        <v>96</v>
      </c>
      <c r="E664">
        <v>1</v>
      </c>
      <c r="F664" t="s">
        <v>505</v>
      </c>
      <c r="G664" t="s">
        <v>27</v>
      </c>
      <c r="H664">
        <v>0</v>
      </c>
      <c r="I664">
        <v>0</v>
      </c>
      <c r="J664">
        <v>0</v>
      </c>
      <c r="K664">
        <v>1</v>
      </c>
      <c r="L664">
        <v>0</v>
      </c>
    </row>
    <row r="665" spans="1:12" x14ac:dyDescent="0.35">
      <c r="A665" t="s">
        <v>200</v>
      </c>
      <c r="B665" s="7">
        <v>43728.860717592594</v>
      </c>
      <c r="C665" t="s">
        <v>85</v>
      </c>
      <c r="D665" t="s">
        <v>96</v>
      </c>
      <c r="E665">
        <v>1</v>
      </c>
      <c r="F665" t="s">
        <v>505</v>
      </c>
      <c r="G665" t="s">
        <v>27</v>
      </c>
      <c r="H665">
        <v>0</v>
      </c>
      <c r="I665">
        <v>0</v>
      </c>
      <c r="J665">
        <v>0</v>
      </c>
      <c r="K665">
        <v>1</v>
      </c>
      <c r="L665">
        <v>0</v>
      </c>
    </row>
    <row r="666" spans="1:12" x14ac:dyDescent="0.35">
      <c r="A666" t="s">
        <v>201</v>
      </c>
      <c r="B666" s="7">
        <v>43728.861238425925</v>
      </c>
      <c r="C666" t="s">
        <v>85</v>
      </c>
      <c r="D666" t="s">
        <v>96</v>
      </c>
      <c r="E666">
        <v>1</v>
      </c>
      <c r="F666" t="s">
        <v>505</v>
      </c>
      <c r="G666" t="s">
        <v>27</v>
      </c>
      <c r="H666">
        <v>0</v>
      </c>
      <c r="I666">
        <v>0</v>
      </c>
      <c r="J666">
        <v>0</v>
      </c>
      <c r="K666">
        <v>1</v>
      </c>
      <c r="L666">
        <v>0</v>
      </c>
    </row>
    <row r="667" spans="1:12" x14ac:dyDescent="0.35">
      <c r="A667" t="s">
        <v>202</v>
      </c>
      <c r="B667" s="7">
        <v>43728.861608796295</v>
      </c>
      <c r="C667" t="s">
        <v>85</v>
      </c>
      <c r="D667" t="s">
        <v>96</v>
      </c>
      <c r="E667">
        <v>1</v>
      </c>
      <c r="F667" t="s">
        <v>505</v>
      </c>
      <c r="G667" t="s">
        <v>27</v>
      </c>
      <c r="H667">
        <v>0</v>
      </c>
      <c r="I667">
        <v>0</v>
      </c>
      <c r="J667">
        <v>0</v>
      </c>
      <c r="K667">
        <v>1</v>
      </c>
      <c r="L667">
        <v>0</v>
      </c>
    </row>
    <row r="668" spans="1:12" x14ac:dyDescent="0.35">
      <c r="A668" t="s">
        <v>203</v>
      </c>
      <c r="B668" s="7">
        <v>43728.862164351849</v>
      </c>
      <c r="C668" t="s">
        <v>85</v>
      </c>
      <c r="D668" t="s">
        <v>96</v>
      </c>
      <c r="E668">
        <v>1</v>
      </c>
      <c r="F668" t="s">
        <v>505</v>
      </c>
      <c r="G668" t="s">
        <v>27</v>
      </c>
      <c r="H668">
        <v>0</v>
      </c>
      <c r="I668">
        <v>0</v>
      </c>
      <c r="J668">
        <v>0</v>
      </c>
      <c r="K668">
        <v>1</v>
      </c>
      <c r="L668">
        <v>0</v>
      </c>
    </row>
    <row r="669" spans="1:12" x14ac:dyDescent="0.35">
      <c r="A669" t="s">
        <v>204</v>
      </c>
      <c r="B669" s="7">
        <v>43728.862615740742</v>
      </c>
      <c r="C669" t="s">
        <v>85</v>
      </c>
      <c r="D669" t="s">
        <v>96</v>
      </c>
      <c r="E669">
        <v>1</v>
      </c>
      <c r="F669" t="s">
        <v>505</v>
      </c>
      <c r="G669" t="s">
        <v>27</v>
      </c>
      <c r="H669">
        <v>0</v>
      </c>
      <c r="I669">
        <v>0</v>
      </c>
      <c r="J669">
        <v>0</v>
      </c>
      <c r="K669">
        <v>1</v>
      </c>
      <c r="L669">
        <v>0</v>
      </c>
    </row>
    <row r="670" spans="1:12" x14ac:dyDescent="0.35">
      <c r="A670" t="s">
        <v>205</v>
      </c>
      <c r="B670" s="7">
        <v>43728.862650462965</v>
      </c>
      <c r="C670" t="s">
        <v>24</v>
      </c>
      <c r="D670" t="s">
        <v>34</v>
      </c>
      <c r="E670">
        <v>1</v>
      </c>
      <c r="F670" t="s">
        <v>505</v>
      </c>
      <c r="G670" t="s">
        <v>27</v>
      </c>
      <c r="H670">
        <v>1</v>
      </c>
      <c r="I670">
        <v>0</v>
      </c>
      <c r="J670">
        <v>0</v>
      </c>
      <c r="K670">
        <v>0</v>
      </c>
      <c r="L670">
        <v>0</v>
      </c>
    </row>
    <row r="671" spans="1:12" x14ac:dyDescent="0.35">
      <c r="A671" t="s">
        <v>206</v>
      </c>
      <c r="B671" s="7">
        <v>43728.862673611111</v>
      </c>
      <c r="C671" t="s">
        <v>85</v>
      </c>
      <c r="D671" t="s">
        <v>34</v>
      </c>
      <c r="E671">
        <v>1</v>
      </c>
      <c r="F671" t="s">
        <v>505</v>
      </c>
      <c r="G671" t="s">
        <v>27</v>
      </c>
      <c r="H671">
        <v>0</v>
      </c>
      <c r="I671">
        <v>0</v>
      </c>
      <c r="J671">
        <v>0</v>
      </c>
      <c r="K671">
        <v>1</v>
      </c>
      <c r="L671">
        <v>0</v>
      </c>
    </row>
    <row r="672" spans="1:12" x14ac:dyDescent="0.35">
      <c r="A672" t="s">
        <v>384</v>
      </c>
      <c r="B672" s="7">
        <v>43729.551562499997</v>
      </c>
      <c r="C672" t="s">
        <v>24</v>
      </c>
      <c r="D672" t="s">
        <v>229</v>
      </c>
      <c r="E672">
        <v>1</v>
      </c>
      <c r="F672" t="s">
        <v>230</v>
      </c>
      <c r="G672" t="s">
        <v>231</v>
      </c>
      <c r="H672">
        <v>1</v>
      </c>
      <c r="I672">
        <v>0</v>
      </c>
      <c r="J672">
        <v>0</v>
      </c>
      <c r="K672">
        <v>0</v>
      </c>
      <c r="L672">
        <v>0</v>
      </c>
    </row>
    <row r="673" spans="1:12" x14ac:dyDescent="0.35">
      <c r="A673" t="s">
        <v>384</v>
      </c>
      <c r="B673" s="7">
        <v>43729.551562499997</v>
      </c>
      <c r="C673" t="s">
        <v>24</v>
      </c>
      <c r="D673" t="s">
        <v>31</v>
      </c>
      <c r="E673">
        <v>1</v>
      </c>
      <c r="F673" t="s">
        <v>230</v>
      </c>
      <c r="G673" t="s">
        <v>231</v>
      </c>
      <c r="H673">
        <v>1</v>
      </c>
      <c r="I673">
        <v>0</v>
      </c>
      <c r="J673">
        <v>0</v>
      </c>
      <c r="K673">
        <v>0</v>
      </c>
      <c r="L673">
        <v>0</v>
      </c>
    </row>
    <row r="674" spans="1:12" x14ac:dyDescent="0.35">
      <c r="A674" t="s">
        <v>384</v>
      </c>
      <c r="B674" s="7">
        <v>43729.551562499997</v>
      </c>
      <c r="C674" t="s">
        <v>24</v>
      </c>
      <c r="D674" t="s">
        <v>229</v>
      </c>
      <c r="E674">
        <v>1</v>
      </c>
      <c r="F674" t="s">
        <v>249</v>
      </c>
      <c r="G674" t="s">
        <v>231</v>
      </c>
      <c r="H674">
        <v>1</v>
      </c>
      <c r="I674">
        <v>0</v>
      </c>
      <c r="J674">
        <v>0</v>
      </c>
      <c r="K674">
        <v>0</v>
      </c>
      <c r="L674">
        <v>0</v>
      </c>
    </row>
    <row r="675" spans="1:12" x14ac:dyDescent="0.35">
      <c r="A675" t="s">
        <v>385</v>
      </c>
      <c r="B675" s="7">
        <v>43729.551562499997</v>
      </c>
      <c r="C675" t="s">
        <v>108</v>
      </c>
      <c r="D675" t="s">
        <v>233</v>
      </c>
      <c r="E675">
        <v>1</v>
      </c>
      <c r="F675" t="s">
        <v>249</v>
      </c>
      <c r="G675" t="s">
        <v>231</v>
      </c>
      <c r="H675">
        <v>0</v>
      </c>
      <c r="I675">
        <v>0</v>
      </c>
      <c r="J675">
        <v>1</v>
      </c>
      <c r="K675">
        <v>0</v>
      </c>
      <c r="L675">
        <v>0</v>
      </c>
    </row>
    <row r="676" spans="1:12" x14ac:dyDescent="0.35">
      <c r="A676" t="s">
        <v>385</v>
      </c>
      <c r="B676" s="7">
        <v>43729.551562499997</v>
      </c>
      <c r="C676" t="s">
        <v>108</v>
      </c>
      <c r="D676" t="s">
        <v>233</v>
      </c>
      <c r="E676">
        <v>1</v>
      </c>
      <c r="F676" t="s">
        <v>249</v>
      </c>
      <c r="G676" t="s">
        <v>231</v>
      </c>
      <c r="H676">
        <v>0</v>
      </c>
      <c r="I676">
        <v>0</v>
      </c>
      <c r="J676">
        <v>1</v>
      </c>
      <c r="K676">
        <v>0</v>
      </c>
      <c r="L676">
        <v>0</v>
      </c>
    </row>
    <row r="677" spans="1:12" x14ac:dyDescent="0.35">
      <c r="A677" t="s">
        <v>384</v>
      </c>
      <c r="B677" s="7">
        <v>43729.551562499997</v>
      </c>
      <c r="C677" t="s">
        <v>24</v>
      </c>
      <c r="D677" t="s">
        <v>238</v>
      </c>
      <c r="E677">
        <v>1</v>
      </c>
      <c r="F677" t="s">
        <v>249</v>
      </c>
      <c r="G677" t="s">
        <v>231</v>
      </c>
      <c r="H677">
        <v>1</v>
      </c>
      <c r="I677">
        <v>0</v>
      </c>
      <c r="J677">
        <v>0</v>
      </c>
      <c r="K677">
        <v>0</v>
      </c>
      <c r="L677">
        <v>0</v>
      </c>
    </row>
    <row r="678" spans="1:12" x14ac:dyDescent="0.35">
      <c r="A678" t="s">
        <v>384</v>
      </c>
      <c r="B678" s="7">
        <v>43729.551562499997</v>
      </c>
      <c r="C678" t="s">
        <v>24</v>
      </c>
      <c r="D678" t="s">
        <v>238</v>
      </c>
      <c r="E678">
        <v>1</v>
      </c>
      <c r="F678" t="s">
        <v>236</v>
      </c>
      <c r="G678" t="s">
        <v>237</v>
      </c>
      <c r="H678">
        <v>1</v>
      </c>
      <c r="I678">
        <v>0</v>
      </c>
      <c r="J678">
        <v>0</v>
      </c>
      <c r="K678">
        <v>0</v>
      </c>
      <c r="L678">
        <v>0</v>
      </c>
    </row>
    <row r="679" spans="1:12" x14ac:dyDescent="0.35">
      <c r="A679" t="s">
        <v>384</v>
      </c>
      <c r="B679" s="7">
        <v>43729.551562499997</v>
      </c>
      <c r="C679" t="s">
        <v>24</v>
      </c>
      <c r="D679" t="s">
        <v>238</v>
      </c>
      <c r="E679">
        <v>1</v>
      </c>
      <c r="F679" t="s">
        <v>236</v>
      </c>
      <c r="G679" t="s">
        <v>237</v>
      </c>
      <c r="H679">
        <v>1</v>
      </c>
      <c r="I679">
        <v>0</v>
      </c>
      <c r="J679">
        <v>0</v>
      </c>
      <c r="K679">
        <v>0</v>
      </c>
      <c r="L679">
        <v>0</v>
      </c>
    </row>
    <row r="680" spans="1:12" x14ac:dyDescent="0.35">
      <c r="A680" t="s">
        <v>384</v>
      </c>
      <c r="B680" s="7">
        <v>43729.551562499997</v>
      </c>
      <c r="C680" t="s">
        <v>24</v>
      </c>
      <c r="D680" t="s">
        <v>233</v>
      </c>
      <c r="E680">
        <v>1</v>
      </c>
      <c r="F680" t="s">
        <v>239</v>
      </c>
      <c r="G680" t="s">
        <v>237</v>
      </c>
      <c r="H680">
        <v>1</v>
      </c>
      <c r="I680">
        <v>0</v>
      </c>
      <c r="J680">
        <v>0</v>
      </c>
      <c r="K680">
        <v>0</v>
      </c>
      <c r="L680">
        <v>0</v>
      </c>
    </row>
    <row r="681" spans="1:12" x14ac:dyDescent="0.35">
      <c r="A681" t="s">
        <v>384</v>
      </c>
      <c r="B681" s="7">
        <v>43729.551562499997</v>
      </c>
      <c r="C681" t="s">
        <v>24</v>
      </c>
      <c r="D681" t="s">
        <v>229</v>
      </c>
      <c r="E681">
        <v>1</v>
      </c>
      <c r="F681" t="s">
        <v>239</v>
      </c>
      <c r="G681" t="s">
        <v>237</v>
      </c>
      <c r="H681">
        <v>1</v>
      </c>
      <c r="I681">
        <v>0</v>
      </c>
      <c r="J681">
        <v>0</v>
      </c>
      <c r="K681">
        <v>0</v>
      </c>
      <c r="L681">
        <v>0</v>
      </c>
    </row>
    <row r="682" spans="1:12" x14ac:dyDescent="0.35">
      <c r="A682" t="s">
        <v>384</v>
      </c>
      <c r="B682" s="7">
        <v>43729.551562499997</v>
      </c>
      <c r="C682" t="s">
        <v>24</v>
      </c>
      <c r="D682" t="s">
        <v>31</v>
      </c>
      <c r="E682">
        <v>1</v>
      </c>
      <c r="F682" t="s">
        <v>240</v>
      </c>
      <c r="G682" t="s">
        <v>237</v>
      </c>
      <c r="H682">
        <v>1</v>
      </c>
      <c r="I682">
        <v>0</v>
      </c>
      <c r="J682">
        <v>0</v>
      </c>
      <c r="K682">
        <v>0</v>
      </c>
      <c r="L682">
        <v>0</v>
      </c>
    </row>
    <row r="683" spans="1:12" x14ac:dyDescent="0.35">
      <c r="A683" t="s">
        <v>384</v>
      </c>
      <c r="B683" s="7">
        <v>43729.551562499997</v>
      </c>
      <c r="C683" t="s">
        <v>24</v>
      </c>
      <c r="D683" t="s">
        <v>238</v>
      </c>
      <c r="E683">
        <v>1</v>
      </c>
      <c r="F683" t="s">
        <v>242</v>
      </c>
      <c r="G683" t="s">
        <v>231</v>
      </c>
      <c r="H683">
        <v>1</v>
      </c>
      <c r="I683">
        <v>0</v>
      </c>
      <c r="J683">
        <v>0</v>
      </c>
      <c r="K683">
        <v>0</v>
      </c>
      <c r="L683">
        <v>0</v>
      </c>
    </row>
    <row r="684" spans="1:12" x14ac:dyDescent="0.35">
      <c r="A684" t="s">
        <v>384</v>
      </c>
      <c r="B684" s="7">
        <v>43729.551562499997</v>
      </c>
      <c r="C684" t="s">
        <v>24</v>
      </c>
      <c r="D684" t="s">
        <v>235</v>
      </c>
      <c r="E684">
        <v>1</v>
      </c>
      <c r="F684" t="s">
        <v>242</v>
      </c>
      <c r="G684" t="s">
        <v>231</v>
      </c>
      <c r="H684">
        <v>1</v>
      </c>
      <c r="I684">
        <v>0</v>
      </c>
      <c r="J684">
        <v>0</v>
      </c>
      <c r="K684">
        <v>0</v>
      </c>
      <c r="L684">
        <v>0</v>
      </c>
    </row>
    <row r="685" spans="1:12" x14ac:dyDescent="0.35">
      <c r="A685" t="s">
        <v>385</v>
      </c>
      <c r="B685" s="7">
        <v>43729.551562499997</v>
      </c>
      <c r="C685" t="s">
        <v>108</v>
      </c>
      <c r="D685" t="s">
        <v>34</v>
      </c>
      <c r="E685">
        <v>1</v>
      </c>
      <c r="F685" t="s">
        <v>242</v>
      </c>
      <c r="G685" t="s">
        <v>231</v>
      </c>
      <c r="H685">
        <v>0</v>
      </c>
      <c r="I685">
        <v>0</v>
      </c>
      <c r="J685">
        <v>1</v>
      </c>
      <c r="K685">
        <v>0</v>
      </c>
      <c r="L685">
        <v>0</v>
      </c>
    </row>
    <row r="686" spans="1:12" x14ac:dyDescent="0.35">
      <c r="A686" t="s">
        <v>386</v>
      </c>
      <c r="B686" s="7">
        <v>43730.551562499997</v>
      </c>
      <c r="C686" t="s">
        <v>24</v>
      </c>
      <c r="D686" t="s">
        <v>31</v>
      </c>
      <c r="E686">
        <v>1</v>
      </c>
      <c r="F686" t="s">
        <v>230</v>
      </c>
      <c r="G686" t="s">
        <v>231</v>
      </c>
      <c r="H686">
        <v>1</v>
      </c>
      <c r="I686">
        <v>0</v>
      </c>
      <c r="J686">
        <v>0</v>
      </c>
      <c r="K686">
        <v>0</v>
      </c>
      <c r="L686">
        <v>0</v>
      </c>
    </row>
    <row r="687" spans="1:12" x14ac:dyDescent="0.35">
      <c r="A687" t="s">
        <v>386</v>
      </c>
      <c r="B687" s="7">
        <v>43730.551562499997</v>
      </c>
      <c r="C687" t="s">
        <v>24</v>
      </c>
      <c r="D687" t="s">
        <v>233</v>
      </c>
      <c r="E687">
        <v>1</v>
      </c>
      <c r="F687" t="s">
        <v>249</v>
      </c>
      <c r="G687" t="s">
        <v>231</v>
      </c>
      <c r="H687">
        <v>1</v>
      </c>
      <c r="I687">
        <v>0</v>
      </c>
      <c r="J687">
        <v>0</v>
      </c>
      <c r="K687">
        <v>0</v>
      </c>
      <c r="L687">
        <v>0</v>
      </c>
    </row>
    <row r="688" spans="1:12" x14ac:dyDescent="0.35">
      <c r="A688" t="s">
        <v>386</v>
      </c>
      <c r="B688" s="7">
        <v>43730.551562499997</v>
      </c>
      <c r="C688" t="s">
        <v>24</v>
      </c>
      <c r="D688" t="s">
        <v>238</v>
      </c>
      <c r="E688">
        <v>1</v>
      </c>
      <c r="F688" t="s">
        <v>236</v>
      </c>
      <c r="G688" t="s">
        <v>237</v>
      </c>
      <c r="H688">
        <v>1</v>
      </c>
      <c r="I688">
        <v>0</v>
      </c>
      <c r="J688">
        <v>0</v>
      </c>
      <c r="K688">
        <v>0</v>
      </c>
      <c r="L688">
        <v>0</v>
      </c>
    </row>
    <row r="689" spans="1:12" x14ac:dyDescent="0.35">
      <c r="A689" t="s">
        <v>387</v>
      </c>
      <c r="B689" s="7">
        <v>43730.551562499997</v>
      </c>
      <c r="C689" t="s">
        <v>85</v>
      </c>
      <c r="D689" t="s">
        <v>34</v>
      </c>
      <c r="E689">
        <v>1</v>
      </c>
      <c r="F689" t="s">
        <v>236</v>
      </c>
      <c r="G689" t="s">
        <v>237</v>
      </c>
      <c r="H689">
        <v>0</v>
      </c>
      <c r="I689">
        <v>0</v>
      </c>
      <c r="J689">
        <v>0</v>
      </c>
      <c r="K689">
        <v>1</v>
      </c>
      <c r="L689">
        <v>0</v>
      </c>
    </row>
    <row r="690" spans="1:12" x14ac:dyDescent="0.35">
      <c r="A690" t="s">
        <v>386</v>
      </c>
      <c r="B690" s="7">
        <v>43730.551562499997</v>
      </c>
      <c r="C690" t="s">
        <v>24</v>
      </c>
      <c r="D690" t="s">
        <v>229</v>
      </c>
      <c r="E690">
        <v>1</v>
      </c>
      <c r="F690" t="s">
        <v>240</v>
      </c>
      <c r="G690" t="s">
        <v>237</v>
      </c>
      <c r="H690">
        <v>1</v>
      </c>
      <c r="I690">
        <v>0</v>
      </c>
      <c r="J690">
        <v>0</v>
      </c>
      <c r="K690">
        <v>0</v>
      </c>
      <c r="L690">
        <v>0</v>
      </c>
    </row>
    <row r="691" spans="1:12" x14ac:dyDescent="0.35">
      <c r="A691" t="s">
        <v>386</v>
      </c>
      <c r="B691" s="7">
        <v>43730.551562499997</v>
      </c>
      <c r="C691" t="s">
        <v>24</v>
      </c>
      <c r="D691" t="s">
        <v>34</v>
      </c>
      <c r="E691">
        <v>1</v>
      </c>
      <c r="F691" t="s">
        <v>242</v>
      </c>
      <c r="G691" t="s">
        <v>231</v>
      </c>
      <c r="H691">
        <v>1</v>
      </c>
      <c r="I691">
        <v>0</v>
      </c>
      <c r="J691">
        <v>0</v>
      </c>
      <c r="K691">
        <v>0</v>
      </c>
      <c r="L691">
        <v>0</v>
      </c>
    </row>
    <row r="692" spans="1:12" x14ac:dyDescent="0.35">
      <c r="A692" t="s">
        <v>388</v>
      </c>
      <c r="B692" s="7">
        <v>43731.551562499997</v>
      </c>
      <c r="C692" t="s">
        <v>24</v>
      </c>
      <c r="D692" t="s">
        <v>238</v>
      </c>
      <c r="E692">
        <v>1</v>
      </c>
      <c r="F692" t="s">
        <v>230</v>
      </c>
      <c r="G692" t="s">
        <v>231</v>
      </c>
      <c r="H692">
        <v>1</v>
      </c>
      <c r="I692">
        <v>0</v>
      </c>
      <c r="J692">
        <v>0</v>
      </c>
      <c r="K692">
        <v>0</v>
      </c>
      <c r="L692">
        <v>0</v>
      </c>
    </row>
    <row r="693" spans="1:12" x14ac:dyDescent="0.35">
      <c r="A693" t="s">
        <v>389</v>
      </c>
      <c r="B693" s="7">
        <v>43731.551562499997</v>
      </c>
      <c r="C693" t="s">
        <v>85</v>
      </c>
      <c r="D693" t="s">
        <v>233</v>
      </c>
      <c r="E693">
        <v>1</v>
      </c>
      <c r="F693" t="s">
        <v>230</v>
      </c>
      <c r="G693" t="s">
        <v>231</v>
      </c>
      <c r="H693">
        <v>0</v>
      </c>
      <c r="I693">
        <v>0</v>
      </c>
      <c r="J693">
        <v>0</v>
      </c>
      <c r="K693">
        <v>1</v>
      </c>
      <c r="L693">
        <v>0</v>
      </c>
    </row>
    <row r="694" spans="1:12" x14ac:dyDescent="0.35">
      <c r="A694" t="s">
        <v>388</v>
      </c>
      <c r="B694" s="7">
        <v>43731.551562499997</v>
      </c>
      <c r="C694" t="s">
        <v>24</v>
      </c>
      <c r="D694" t="s">
        <v>31</v>
      </c>
      <c r="E694">
        <v>1</v>
      </c>
      <c r="F694" t="s">
        <v>230</v>
      </c>
      <c r="G694" t="s">
        <v>231</v>
      </c>
      <c r="H694">
        <v>1</v>
      </c>
      <c r="I694">
        <v>0</v>
      </c>
      <c r="J694">
        <v>0</v>
      </c>
      <c r="K694">
        <v>0</v>
      </c>
      <c r="L694">
        <v>0</v>
      </c>
    </row>
    <row r="695" spans="1:12" x14ac:dyDescent="0.35">
      <c r="A695" t="s">
        <v>388</v>
      </c>
      <c r="B695" s="7">
        <v>43731.551562499997</v>
      </c>
      <c r="C695" t="s">
        <v>24</v>
      </c>
      <c r="D695" t="s">
        <v>238</v>
      </c>
      <c r="E695">
        <v>1</v>
      </c>
      <c r="F695" t="s">
        <v>249</v>
      </c>
      <c r="G695" t="s">
        <v>231</v>
      </c>
      <c r="H695">
        <v>1</v>
      </c>
      <c r="I695">
        <v>0</v>
      </c>
      <c r="J695">
        <v>0</v>
      </c>
      <c r="K695">
        <v>0</v>
      </c>
      <c r="L695">
        <v>0</v>
      </c>
    </row>
    <row r="696" spans="1:12" x14ac:dyDescent="0.35">
      <c r="A696" t="s">
        <v>390</v>
      </c>
      <c r="B696" s="7">
        <v>43731.551562499997</v>
      </c>
      <c r="C696" t="s">
        <v>228</v>
      </c>
      <c r="D696" t="s">
        <v>229</v>
      </c>
      <c r="E696">
        <v>1</v>
      </c>
      <c r="F696" t="s">
        <v>249</v>
      </c>
      <c r="G696" t="s">
        <v>231</v>
      </c>
      <c r="H696">
        <v>0</v>
      </c>
      <c r="I696">
        <v>1</v>
      </c>
      <c r="J696">
        <v>0</v>
      </c>
      <c r="K696">
        <v>0</v>
      </c>
      <c r="L696">
        <v>0</v>
      </c>
    </row>
    <row r="697" spans="1:12" x14ac:dyDescent="0.35">
      <c r="A697" t="s">
        <v>390</v>
      </c>
      <c r="B697" s="7">
        <v>43731.551562499997</v>
      </c>
      <c r="C697" t="s">
        <v>228</v>
      </c>
      <c r="D697" t="s">
        <v>233</v>
      </c>
      <c r="E697">
        <v>1</v>
      </c>
      <c r="F697" t="s">
        <v>236</v>
      </c>
      <c r="G697" t="s">
        <v>237</v>
      </c>
      <c r="H697">
        <v>0</v>
      </c>
      <c r="I697">
        <v>1</v>
      </c>
      <c r="J697">
        <v>0</v>
      </c>
      <c r="K697">
        <v>0</v>
      </c>
      <c r="L697">
        <v>0</v>
      </c>
    </row>
    <row r="698" spans="1:12" x14ac:dyDescent="0.35">
      <c r="A698" t="s">
        <v>388</v>
      </c>
      <c r="B698" s="7">
        <v>43731.551562499997</v>
      </c>
      <c r="C698" t="s">
        <v>24</v>
      </c>
      <c r="D698" t="s">
        <v>34</v>
      </c>
      <c r="E698">
        <v>1</v>
      </c>
      <c r="F698" t="s">
        <v>236</v>
      </c>
      <c r="G698" t="s">
        <v>237</v>
      </c>
      <c r="H698">
        <v>1</v>
      </c>
      <c r="I698">
        <v>0</v>
      </c>
      <c r="J698">
        <v>0</v>
      </c>
      <c r="K698">
        <v>0</v>
      </c>
      <c r="L698">
        <v>0</v>
      </c>
    </row>
    <row r="699" spans="1:12" x14ac:dyDescent="0.35">
      <c r="A699" t="s">
        <v>388</v>
      </c>
      <c r="B699" s="7">
        <v>43731.551562499997</v>
      </c>
      <c r="C699" t="s">
        <v>24</v>
      </c>
      <c r="D699" t="s">
        <v>34</v>
      </c>
      <c r="E699">
        <v>1</v>
      </c>
      <c r="F699" t="s">
        <v>236</v>
      </c>
      <c r="G699" t="s">
        <v>237</v>
      </c>
      <c r="H699">
        <v>1</v>
      </c>
      <c r="I699">
        <v>0</v>
      </c>
      <c r="J699">
        <v>0</v>
      </c>
      <c r="K699">
        <v>0</v>
      </c>
      <c r="L699">
        <v>0</v>
      </c>
    </row>
    <row r="700" spans="1:12" x14ac:dyDescent="0.35">
      <c r="A700" t="s">
        <v>388</v>
      </c>
      <c r="B700" s="7">
        <v>43731.551562499997</v>
      </c>
      <c r="C700" t="s">
        <v>24</v>
      </c>
      <c r="D700" t="s">
        <v>31</v>
      </c>
      <c r="E700">
        <v>1</v>
      </c>
      <c r="F700" t="s">
        <v>239</v>
      </c>
      <c r="G700" t="s">
        <v>237</v>
      </c>
      <c r="H700">
        <v>1</v>
      </c>
      <c r="I700">
        <v>0</v>
      </c>
      <c r="J700">
        <v>0</v>
      </c>
      <c r="K700">
        <v>0</v>
      </c>
      <c r="L700">
        <v>0</v>
      </c>
    </row>
    <row r="701" spans="1:12" x14ac:dyDescent="0.35">
      <c r="A701" t="s">
        <v>207</v>
      </c>
      <c r="B701" s="7">
        <v>43731.845590277779</v>
      </c>
      <c r="C701" t="s">
        <v>24</v>
      </c>
      <c r="D701" t="s">
        <v>136</v>
      </c>
      <c r="E701">
        <v>1</v>
      </c>
      <c r="F701" t="s">
        <v>505</v>
      </c>
      <c r="G701" t="s">
        <v>27</v>
      </c>
      <c r="H701">
        <v>1</v>
      </c>
      <c r="I701">
        <v>0</v>
      </c>
      <c r="J701">
        <v>0</v>
      </c>
      <c r="K701">
        <v>0</v>
      </c>
      <c r="L701">
        <v>0</v>
      </c>
    </row>
    <row r="702" spans="1:12" x14ac:dyDescent="0.35">
      <c r="A702" t="s">
        <v>391</v>
      </c>
      <c r="B702" s="7">
        <v>43732.551562499997</v>
      </c>
      <c r="C702" t="s">
        <v>24</v>
      </c>
      <c r="D702" t="s">
        <v>31</v>
      </c>
      <c r="E702">
        <v>1</v>
      </c>
      <c r="F702" t="s">
        <v>249</v>
      </c>
      <c r="G702" t="s">
        <v>231</v>
      </c>
      <c r="H702">
        <v>1</v>
      </c>
      <c r="I702">
        <v>0</v>
      </c>
      <c r="J702">
        <v>0</v>
      </c>
      <c r="K702">
        <v>0</v>
      </c>
      <c r="L702">
        <v>0</v>
      </c>
    </row>
    <row r="703" spans="1:12" x14ac:dyDescent="0.35">
      <c r="A703" t="s">
        <v>391</v>
      </c>
      <c r="B703" s="7">
        <v>43732.551562499997</v>
      </c>
      <c r="C703" t="s">
        <v>24</v>
      </c>
      <c r="D703" t="s">
        <v>233</v>
      </c>
      <c r="E703">
        <v>1</v>
      </c>
      <c r="F703" t="s">
        <v>239</v>
      </c>
      <c r="G703" t="s">
        <v>237</v>
      </c>
      <c r="H703">
        <v>1</v>
      </c>
      <c r="I703">
        <v>0</v>
      </c>
      <c r="J703">
        <v>0</v>
      </c>
      <c r="K703">
        <v>0</v>
      </c>
      <c r="L703">
        <v>0</v>
      </c>
    </row>
    <row r="704" spans="1:12" x14ac:dyDescent="0.35">
      <c r="A704" t="s">
        <v>391</v>
      </c>
      <c r="B704" s="7">
        <v>43732.551562499997</v>
      </c>
      <c r="C704" t="s">
        <v>24</v>
      </c>
      <c r="D704" t="s">
        <v>229</v>
      </c>
      <c r="E704">
        <v>1</v>
      </c>
      <c r="F704" t="s">
        <v>239</v>
      </c>
      <c r="G704" t="s">
        <v>237</v>
      </c>
      <c r="H704">
        <v>1</v>
      </c>
      <c r="I704">
        <v>0</v>
      </c>
      <c r="J704">
        <v>0</v>
      </c>
      <c r="K704">
        <v>0</v>
      </c>
      <c r="L704">
        <v>0</v>
      </c>
    </row>
    <row r="705" spans="1:12" x14ac:dyDescent="0.35">
      <c r="A705" t="s">
        <v>391</v>
      </c>
      <c r="B705" s="7">
        <v>43732.551562499997</v>
      </c>
      <c r="C705" t="s">
        <v>24</v>
      </c>
      <c r="D705" t="s">
        <v>34</v>
      </c>
      <c r="E705">
        <v>1</v>
      </c>
      <c r="F705" t="s">
        <v>239</v>
      </c>
      <c r="G705" t="s">
        <v>237</v>
      </c>
      <c r="H705">
        <v>1</v>
      </c>
      <c r="I705">
        <v>0</v>
      </c>
      <c r="J705">
        <v>0</v>
      </c>
      <c r="K705">
        <v>0</v>
      </c>
      <c r="L705">
        <v>0</v>
      </c>
    </row>
    <row r="706" spans="1:12" x14ac:dyDescent="0.35">
      <c r="A706" t="s">
        <v>391</v>
      </c>
      <c r="B706" s="7">
        <v>43732.551562499997</v>
      </c>
      <c r="C706" t="s">
        <v>24</v>
      </c>
      <c r="D706" t="s">
        <v>31</v>
      </c>
      <c r="E706">
        <v>1</v>
      </c>
      <c r="F706" t="s">
        <v>239</v>
      </c>
      <c r="G706" t="s">
        <v>237</v>
      </c>
      <c r="H706">
        <v>1</v>
      </c>
      <c r="I706">
        <v>0</v>
      </c>
      <c r="J706">
        <v>0</v>
      </c>
      <c r="K706">
        <v>0</v>
      </c>
      <c r="L706">
        <v>0</v>
      </c>
    </row>
    <row r="707" spans="1:12" x14ac:dyDescent="0.35">
      <c r="A707" t="s">
        <v>391</v>
      </c>
      <c r="B707" s="7">
        <v>43732.551562499997</v>
      </c>
      <c r="C707" t="s">
        <v>24</v>
      </c>
      <c r="D707" t="s">
        <v>235</v>
      </c>
      <c r="E707">
        <v>1</v>
      </c>
      <c r="F707" t="s">
        <v>240</v>
      </c>
      <c r="G707" t="s">
        <v>237</v>
      </c>
      <c r="H707">
        <v>1</v>
      </c>
      <c r="I707">
        <v>0</v>
      </c>
      <c r="J707">
        <v>0</v>
      </c>
      <c r="K707">
        <v>0</v>
      </c>
      <c r="L707">
        <v>0</v>
      </c>
    </row>
    <row r="708" spans="1:12" x14ac:dyDescent="0.35">
      <c r="A708" t="s">
        <v>391</v>
      </c>
      <c r="B708" s="7">
        <v>43732.551562499997</v>
      </c>
      <c r="C708" t="s">
        <v>24</v>
      </c>
      <c r="D708" t="s">
        <v>229</v>
      </c>
      <c r="E708">
        <v>1</v>
      </c>
      <c r="F708" t="s">
        <v>242</v>
      </c>
      <c r="G708" t="s">
        <v>231</v>
      </c>
      <c r="H708">
        <v>1</v>
      </c>
      <c r="I708">
        <v>0</v>
      </c>
      <c r="J708">
        <v>0</v>
      </c>
      <c r="K708">
        <v>0</v>
      </c>
      <c r="L708">
        <v>0</v>
      </c>
    </row>
    <row r="709" spans="1:12" x14ac:dyDescent="0.35">
      <c r="A709" t="s">
        <v>391</v>
      </c>
      <c r="B709" s="7">
        <v>43732.551562499997</v>
      </c>
      <c r="C709" t="s">
        <v>24</v>
      </c>
      <c r="D709" t="s">
        <v>34</v>
      </c>
      <c r="E709">
        <v>1</v>
      </c>
      <c r="F709" t="s">
        <v>242</v>
      </c>
      <c r="G709" t="s">
        <v>231</v>
      </c>
      <c r="H709">
        <v>1</v>
      </c>
      <c r="I709">
        <v>0</v>
      </c>
      <c r="J709">
        <v>0</v>
      </c>
      <c r="K709">
        <v>0</v>
      </c>
      <c r="L709">
        <v>0</v>
      </c>
    </row>
    <row r="710" spans="1:12" x14ac:dyDescent="0.35">
      <c r="A710" t="s">
        <v>392</v>
      </c>
      <c r="B710" s="7">
        <v>43733.551562499997</v>
      </c>
      <c r="C710" t="s">
        <v>108</v>
      </c>
      <c r="D710" t="s">
        <v>235</v>
      </c>
      <c r="E710">
        <v>1</v>
      </c>
      <c r="F710" t="s">
        <v>239</v>
      </c>
      <c r="G710" t="s">
        <v>237</v>
      </c>
      <c r="H710">
        <v>0</v>
      </c>
      <c r="I710">
        <v>0</v>
      </c>
      <c r="J710">
        <v>1</v>
      </c>
      <c r="K710">
        <v>0</v>
      </c>
      <c r="L710">
        <v>0</v>
      </c>
    </row>
    <row r="711" spans="1:12" x14ac:dyDescent="0.35">
      <c r="A711" t="s">
        <v>393</v>
      </c>
      <c r="B711" s="7">
        <v>43733.551562499997</v>
      </c>
      <c r="C711" t="s">
        <v>24</v>
      </c>
      <c r="D711" t="s">
        <v>229</v>
      </c>
      <c r="E711">
        <v>1</v>
      </c>
      <c r="F711" t="s">
        <v>240</v>
      </c>
      <c r="G711" t="s">
        <v>237</v>
      </c>
      <c r="H711">
        <v>1</v>
      </c>
      <c r="I711">
        <v>0</v>
      </c>
      <c r="J711">
        <v>0</v>
      </c>
      <c r="K711">
        <v>0</v>
      </c>
      <c r="L711">
        <v>0</v>
      </c>
    </row>
    <row r="712" spans="1:12" x14ac:dyDescent="0.35">
      <c r="A712" t="s">
        <v>393</v>
      </c>
      <c r="B712" s="7">
        <v>43733.551562499997</v>
      </c>
      <c r="C712" t="s">
        <v>24</v>
      </c>
      <c r="D712" t="s">
        <v>233</v>
      </c>
      <c r="E712">
        <v>1</v>
      </c>
      <c r="F712" t="s">
        <v>242</v>
      </c>
      <c r="G712" t="s">
        <v>231</v>
      </c>
      <c r="H712">
        <v>1</v>
      </c>
      <c r="I712">
        <v>0</v>
      </c>
      <c r="J712">
        <v>0</v>
      </c>
      <c r="K712">
        <v>0</v>
      </c>
      <c r="L712">
        <v>0</v>
      </c>
    </row>
    <row r="713" spans="1:12" x14ac:dyDescent="0.35">
      <c r="A713" t="s">
        <v>393</v>
      </c>
      <c r="B713" s="7">
        <v>43733.551562499997</v>
      </c>
      <c r="C713" t="s">
        <v>24</v>
      </c>
      <c r="D713" t="s">
        <v>233</v>
      </c>
      <c r="E713">
        <v>1</v>
      </c>
      <c r="F713" t="s">
        <v>242</v>
      </c>
      <c r="G713" t="s">
        <v>231</v>
      </c>
      <c r="H713">
        <v>1</v>
      </c>
      <c r="I713">
        <v>0</v>
      </c>
      <c r="J713">
        <v>0</v>
      </c>
      <c r="K713">
        <v>0</v>
      </c>
      <c r="L713">
        <v>0</v>
      </c>
    </row>
    <row r="714" spans="1:12" x14ac:dyDescent="0.35">
      <c r="A714" t="s">
        <v>393</v>
      </c>
      <c r="B714" s="7">
        <v>43733.551562499997</v>
      </c>
      <c r="C714" t="s">
        <v>24</v>
      </c>
      <c r="D714" t="s">
        <v>235</v>
      </c>
      <c r="E714">
        <v>1</v>
      </c>
      <c r="F714" t="s">
        <v>242</v>
      </c>
      <c r="G714" t="s">
        <v>231</v>
      </c>
      <c r="H714">
        <v>1</v>
      </c>
      <c r="I714">
        <v>0</v>
      </c>
      <c r="J714">
        <v>0</v>
      </c>
      <c r="K714">
        <v>0</v>
      </c>
      <c r="L714">
        <v>0</v>
      </c>
    </row>
    <row r="715" spans="1:12" x14ac:dyDescent="0.35">
      <c r="A715" t="s">
        <v>394</v>
      </c>
      <c r="B715" s="7">
        <v>43733.551562499997</v>
      </c>
      <c r="C715" t="s">
        <v>85</v>
      </c>
      <c r="D715" t="s">
        <v>31</v>
      </c>
      <c r="E715">
        <v>1</v>
      </c>
      <c r="F715" t="s">
        <v>242</v>
      </c>
      <c r="G715" t="s">
        <v>231</v>
      </c>
      <c r="H715">
        <v>0</v>
      </c>
      <c r="I715">
        <v>0</v>
      </c>
      <c r="J715">
        <v>0</v>
      </c>
      <c r="K715">
        <v>1</v>
      </c>
      <c r="L715">
        <v>0</v>
      </c>
    </row>
    <row r="716" spans="1:12" x14ac:dyDescent="0.35">
      <c r="A716" t="s">
        <v>395</v>
      </c>
      <c r="B716" s="7">
        <v>43734.551562499997</v>
      </c>
      <c r="C716" t="s">
        <v>24</v>
      </c>
      <c r="D716" t="s">
        <v>233</v>
      </c>
      <c r="E716">
        <v>1</v>
      </c>
      <c r="F716" t="s">
        <v>230</v>
      </c>
      <c r="G716" t="s">
        <v>231</v>
      </c>
      <c r="H716">
        <v>1</v>
      </c>
      <c r="I716">
        <v>0</v>
      </c>
      <c r="J716">
        <v>0</v>
      </c>
      <c r="K716">
        <v>0</v>
      </c>
      <c r="L716">
        <v>0</v>
      </c>
    </row>
    <row r="717" spans="1:12" x14ac:dyDescent="0.35">
      <c r="A717" t="s">
        <v>395</v>
      </c>
      <c r="B717" s="7">
        <v>43734.551562499997</v>
      </c>
      <c r="C717" t="s">
        <v>24</v>
      </c>
      <c r="D717" t="s">
        <v>235</v>
      </c>
      <c r="E717">
        <v>1</v>
      </c>
      <c r="F717" t="s">
        <v>230</v>
      </c>
      <c r="G717" t="s">
        <v>231</v>
      </c>
      <c r="H717">
        <v>1</v>
      </c>
      <c r="I717">
        <v>0</v>
      </c>
      <c r="J717">
        <v>0</v>
      </c>
      <c r="K717">
        <v>0</v>
      </c>
      <c r="L717">
        <v>0</v>
      </c>
    </row>
    <row r="718" spans="1:12" x14ac:dyDescent="0.35">
      <c r="A718" t="s">
        <v>396</v>
      </c>
      <c r="B718" s="7">
        <v>43734.551562499997</v>
      </c>
      <c r="C718" t="s">
        <v>228</v>
      </c>
      <c r="D718" t="s">
        <v>238</v>
      </c>
      <c r="E718">
        <v>1</v>
      </c>
      <c r="F718" t="s">
        <v>239</v>
      </c>
      <c r="G718" t="s">
        <v>237</v>
      </c>
      <c r="H718">
        <v>0</v>
      </c>
      <c r="I718">
        <v>1</v>
      </c>
      <c r="J718">
        <v>0</v>
      </c>
      <c r="K718">
        <v>0</v>
      </c>
      <c r="L718">
        <v>0</v>
      </c>
    </row>
    <row r="719" spans="1:12" x14ac:dyDescent="0.35">
      <c r="A719" t="s">
        <v>395</v>
      </c>
      <c r="B719" s="7">
        <v>43734.551562499997</v>
      </c>
      <c r="C719" t="s">
        <v>24</v>
      </c>
      <c r="D719" t="s">
        <v>233</v>
      </c>
      <c r="E719">
        <v>1</v>
      </c>
      <c r="F719" t="s">
        <v>240</v>
      </c>
      <c r="G719" t="s">
        <v>237</v>
      </c>
      <c r="H719">
        <v>1</v>
      </c>
      <c r="I719">
        <v>0</v>
      </c>
      <c r="J719">
        <v>0</v>
      </c>
      <c r="K719">
        <v>0</v>
      </c>
      <c r="L719">
        <v>0</v>
      </c>
    </row>
    <row r="720" spans="1:12" x14ac:dyDescent="0.35">
      <c r="A720" t="s">
        <v>395</v>
      </c>
      <c r="B720" s="7">
        <v>43734.551562499997</v>
      </c>
      <c r="C720" t="s">
        <v>24</v>
      </c>
      <c r="D720" t="s">
        <v>235</v>
      </c>
      <c r="E720">
        <v>1</v>
      </c>
      <c r="F720" t="s">
        <v>242</v>
      </c>
      <c r="G720" t="s">
        <v>231</v>
      </c>
      <c r="H720">
        <v>1</v>
      </c>
      <c r="I720">
        <v>0</v>
      </c>
      <c r="J720">
        <v>0</v>
      </c>
      <c r="K720">
        <v>0</v>
      </c>
      <c r="L720">
        <v>0</v>
      </c>
    </row>
    <row r="721" spans="1:12" x14ac:dyDescent="0.35">
      <c r="A721" t="s">
        <v>397</v>
      </c>
      <c r="B721" s="7">
        <v>43735.551562499997</v>
      </c>
      <c r="C721" t="s">
        <v>24</v>
      </c>
      <c r="D721" t="s">
        <v>34</v>
      </c>
      <c r="E721">
        <v>1</v>
      </c>
      <c r="F721" t="s">
        <v>230</v>
      </c>
      <c r="G721" t="s">
        <v>231</v>
      </c>
      <c r="H721">
        <v>1</v>
      </c>
      <c r="I721">
        <v>0</v>
      </c>
      <c r="J721">
        <v>0</v>
      </c>
      <c r="K721">
        <v>0</v>
      </c>
      <c r="L721">
        <v>0</v>
      </c>
    </row>
    <row r="722" spans="1:12" x14ac:dyDescent="0.35">
      <c r="A722" t="s">
        <v>397</v>
      </c>
      <c r="B722" s="7">
        <v>43735.551562499997</v>
      </c>
      <c r="C722" t="s">
        <v>24</v>
      </c>
      <c r="D722" t="s">
        <v>235</v>
      </c>
      <c r="E722">
        <v>1</v>
      </c>
      <c r="F722" t="s">
        <v>249</v>
      </c>
      <c r="G722" t="s">
        <v>231</v>
      </c>
      <c r="H722">
        <v>1</v>
      </c>
      <c r="I722">
        <v>0</v>
      </c>
      <c r="J722">
        <v>0</v>
      </c>
      <c r="K722">
        <v>0</v>
      </c>
      <c r="L722">
        <v>0</v>
      </c>
    </row>
    <row r="723" spans="1:12" x14ac:dyDescent="0.35">
      <c r="A723" t="s">
        <v>397</v>
      </c>
      <c r="B723" s="7">
        <v>43735.551562499997</v>
      </c>
      <c r="C723" t="s">
        <v>24</v>
      </c>
      <c r="D723" t="s">
        <v>229</v>
      </c>
      <c r="E723">
        <v>1</v>
      </c>
      <c r="F723" t="s">
        <v>249</v>
      </c>
      <c r="G723" t="s">
        <v>231</v>
      </c>
      <c r="H723">
        <v>1</v>
      </c>
      <c r="I723">
        <v>0</v>
      </c>
      <c r="J723">
        <v>0</v>
      </c>
      <c r="K723">
        <v>0</v>
      </c>
      <c r="L723">
        <v>0</v>
      </c>
    </row>
    <row r="724" spans="1:12" x14ac:dyDescent="0.35">
      <c r="A724" t="s">
        <v>398</v>
      </c>
      <c r="B724" s="7">
        <v>43735.551562499997</v>
      </c>
      <c r="C724" t="s">
        <v>228</v>
      </c>
      <c r="D724" t="s">
        <v>31</v>
      </c>
      <c r="E724">
        <v>1</v>
      </c>
      <c r="F724" t="s">
        <v>236</v>
      </c>
      <c r="G724" t="s">
        <v>237</v>
      </c>
      <c r="H724">
        <v>0</v>
      </c>
      <c r="I724">
        <v>1</v>
      </c>
      <c r="J724">
        <v>0</v>
      </c>
      <c r="K724">
        <v>0</v>
      </c>
      <c r="L724">
        <v>0</v>
      </c>
    </row>
    <row r="725" spans="1:12" x14ac:dyDescent="0.35">
      <c r="A725" t="s">
        <v>399</v>
      </c>
      <c r="B725" s="7">
        <v>43735.551562499997</v>
      </c>
      <c r="C725" t="s">
        <v>85</v>
      </c>
      <c r="D725" t="s">
        <v>235</v>
      </c>
      <c r="E725">
        <v>1</v>
      </c>
      <c r="F725" t="s">
        <v>236</v>
      </c>
      <c r="G725" t="s">
        <v>237</v>
      </c>
      <c r="H725">
        <v>0</v>
      </c>
      <c r="I725">
        <v>0</v>
      </c>
      <c r="J725">
        <v>0</v>
      </c>
      <c r="K725">
        <v>1</v>
      </c>
      <c r="L725">
        <v>0</v>
      </c>
    </row>
    <row r="726" spans="1:12" x14ac:dyDescent="0.35">
      <c r="A726" t="s">
        <v>397</v>
      </c>
      <c r="B726" s="7">
        <v>43735.551562499997</v>
      </c>
      <c r="C726" t="s">
        <v>24</v>
      </c>
      <c r="D726" t="s">
        <v>34</v>
      </c>
      <c r="E726">
        <v>1</v>
      </c>
      <c r="F726" t="s">
        <v>239</v>
      </c>
      <c r="G726" t="s">
        <v>237</v>
      </c>
      <c r="H726">
        <v>1</v>
      </c>
      <c r="I726">
        <v>0</v>
      </c>
      <c r="J726">
        <v>0</v>
      </c>
      <c r="K726">
        <v>0</v>
      </c>
      <c r="L726">
        <v>0</v>
      </c>
    </row>
    <row r="727" spans="1:12" x14ac:dyDescent="0.35">
      <c r="A727" t="s">
        <v>397</v>
      </c>
      <c r="B727" s="7">
        <v>43735.551562499997</v>
      </c>
      <c r="C727" t="s">
        <v>24</v>
      </c>
      <c r="D727" t="s">
        <v>235</v>
      </c>
      <c r="E727">
        <v>1</v>
      </c>
      <c r="F727" t="s">
        <v>239</v>
      </c>
      <c r="G727" t="s">
        <v>237</v>
      </c>
      <c r="H727">
        <v>1</v>
      </c>
      <c r="I727">
        <v>0</v>
      </c>
      <c r="J727">
        <v>0</v>
      </c>
      <c r="K727">
        <v>0</v>
      </c>
      <c r="L727">
        <v>0</v>
      </c>
    </row>
    <row r="728" spans="1:12" x14ac:dyDescent="0.35">
      <c r="A728" t="s">
        <v>398</v>
      </c>
      <c r="B728" s="7">
        <v>43735.551562499997</v>
      </c>
      <c r="C728" t="s">
        <v>228</v>
      </c>
      <c r="D728" t="s">
        <v>233</v>
      </c>
      <c r="E728">
        <v>1</v>
      </c>
      <c r="F728" t="s">
        <v>239</v>
      </c>
      <c r="G728" t="s">
        <v>237</v>
      </c>
      <c r="H728">
        <v>0</v>
      </c>
      <c r="I728">
        <v>1</v>
      </c>
      <c r="J728">
        <v>0</v>
      </c>
      <c r="K728">
        <v>0</v>
      </c>
      <c r="L728">
        <v>0</v>
      </c>
    </row>
    <row r="729" spans="1:12" x14ac:dyDescent="0.35">
      <c r="A729" t="s">
        <v>400</v>
      </c>
      <c r="B729" s="7">
        <v>43736.551562499997</v>
      </c>
      <c r="C729" t="s">
        <v>24</v>
      </c>
      <c r="D729" t="s">
        <v>235</v>
      </c>
      <c r="E729">
        <v>1</v>
      </c>
      <c r="F729" t="s">
        <v>230</v>
      </c>
      <c r="G729" t="s">
        <v>231</v>
      </c>
      <c r="H729">
        <v>1</v>
      </c>
      <c r="I729">
        <v>0</v>
      </c>
      <c r="J729">
        <v>0</v>
      </c>
      <c r="K729">
        <v>0</v>
      </c>
      <c r="L729">
        <v>0</v>
      </c>
    </row>
    <row r="730" spans="1:12" x14ac:dyDescent="0.35">
      <c r="A730" t="s">
        <v>400</v>
      </c>
      <c r="B730" s="7">
        <v>43736.551562499997</v>
      </c>
      <c r="C730" t="s">
        <v>24</v>
      </c>
      <c r="D730" t="s">
        <v>235</v>
      </c>
      <c r="E730">
        <v>1</v>
      </c>
      <c r="F730" t="s">
        <v>230</v>
      </c>
      <c r="G730" t="s">
        <v>231</v>
      </c>
      <c r="H730">
        <v>1</v>
      </c>
      <c r="I730">
        <v>0</v>
      </c>
      <c r="J730">
        <v>0</v>
      </c>
      <c r="K730">
        <v>0</v>
      </c>
      <c r="L730">
        <v>0</v>
      </c>
    </row>
    <row r="731" spans="1:12" x14ac:dyDescent="0.35">
      <c r="A731" t="s">
        <v>400</v>
      </c>
      <c r="B731" s="7">
        <v>43736.551562499997</v>
      </c>
      <c r="C731" t="s">
        <v>24</v>
      </c>
      <c r="D731" t="s">
        <v>31</v>
      </c>
      <c r="E731">
        <v>1</v>
      </c>
      <c r="F731" t="s">
        <v>249</v>
      </c>
      <c r="G731" t="s">
        <v>231</v>
      </c>
      <c r="H731">
        <v>1</v>
      </c>
      <c r="I731">
        <v>0</v>
      </c>
      <c r="J731">
        <v>0</v>
      </c>
      <c r="K731">
        <v>0</v>
      </c>
      <c r="L731">
        <v>0</v>
      </c>
    </row>
    <row r="732" spans="1:12" x14ac:dyDescent="0.35">
      <c r="A732" t="s">
        <v>400</v>
      </c>
      <c r="B732" s="7">
        <v>43736.551562499997</v>
      </c>
      <c r="C732" t="s">
        <v>24</v>
      </c>
      <c r="D732" t="s">
        <v>31</v>
      </c>
      <c r="E732">
        <v>1</v>
      </c>
      <c r="F732" t="s">
        <v>236</v>
      </c>
      <c r="G732" t="s">
        <v>237</v>
      </c>
      <c r="H732">
        <v>1</v>
      </c>
      <c r="I732">
        <v>0</v>
      </c>
      <c r="J732">
        <v>0</v>
      </c>
      <c r="K732">
        <v>0</v>
      </c>
      <c r="L732">
        <v>0</v>
      </c>
    </row>
    <row r="733" spans="1:12" x14ac:dyDescent="0.35">
      <c r="A733" t="s">
        <v>400</v>
      </c>
      <c r="B733" s="7">
        <v>43736.551562499997</v>
      </c>
      <c r="C733" t="s">
        <v>24</v>
      </c>
      <c r="D733" t="s">
        <v>229</v>
      </c>
      <c r="E733">
        <v>1</v>
      </c>
      <c r="F733" t="s">
        <v>236</v>
      </c>
      <c r="G733" t="s">
        <v>237</v>
      </c>
      <c r="H733">
        <v>1</v>
      </c>
      <c r="I733">
        <v>0</v>
      </c>
      <c r="J733">
        <v>0</v>
      </c>
      <c r="K733">
        <v>0</v>
      </c>
      <c r="L733">
        <v>0</v>
      </c>
    </row>
    <row r="734" spans="1:12" x14ac:dyDescent="0.35">
      <c r="A734" t="s">
        <v>401</v>
      </c>
      <c r="B734" s="7">
        <v>43736.551562499997</v>
      </c>
      <c r="C734" t="s">
        <v>108</v>
      </c>
      <c r="D734" t="s">
        <v>233</v>
      </c>
      <c r="E734">
        <v>1</v>
      </c>
      <c r="F734" t="s">
        <v>236</v>
      </c>
      <c r="G734" t="s">
        <v>237</v>
      </c>
      <c r="H734">
        <v>0</v>
      </c>
      <c r="I734">
        <v>0</v>
      </c>
      <c r="J734">
        <v>1</v>
      </c>
      <c r="K734">
        <v>0</v>
      </c>
      <c r="L734">
        <v>0</v>
      </c>
    </row>
    <row r="735" spans="1:12" x14ac:dyDescent="0.35">
      <c r="A735" t="s">
        <v>401</v>
      </c>
      <c r="B735" s="7">
        <v>43736.551562499997</v>
      </c>
      <c r="C735" t="s">
        <v>108</v>
      </c>
      <c r="D735" t="s">
        <v>31</v>
      </c>
      <c r="E735">
        <v>1</v>
      </c>
      <c r="F735" t="s">
        <v>239</v>
      </c>
      <c r="G735" t="s">
        <v>237</v>
      </c>
      <c r="H735">
        <v>0</v>
      </c>
      <c r="I735">
        <v>0</v>
      </c>
      <c r="J735">
        <v>1</v>
      </c>
      <c r="K735">
        <v>0</v>
      </c>
      <c r="L735">
        <v>0</v>
      </c>
    </row>
    <row r="736" spans="1:12" x14ac:dyDescent="0.35">
      <c r="A736" t="s">
        <v>400</v>
      </c>
      <c r="B736" s="7">
        <v>43736.551562499997</v>
      </c>
      <c r="C736" t="s">
        <v>24</v>
      </c>
      <c r="D736" t="s">
        <v>233</v>
      </c>
      <c r="E736">
        <v>1</v>
      </c>
      <c r="F736" t="s">
        <v>240</v>
      </c>
      <c r="G736" t="s">
        <v>237</v>
      </c>
      <c r="H736">
        <v>1</v>
      </c>
      <c r="I736">
        <v>0</v>
      </c>
      <c r="J736">
        <v>0</v>
      </c>
      <c r="K736">
        <v>0</v>
      </c>
      <c r="L736">
        <v>0</v>
      </c>
    </row>
    <row r="737" spans="1:12" x14ac:dyDescent="0.35">
      <c r="A737" t="s">
        <v>400</v>
      </c>
      <c r="B737" s="7">
        <v>43736.551562499997</v>
      </c>
      <c r="C737" t="s">
        <v>24</v>
      </c>
      <c r="D737" t="s">
        <v>235</v>
      </c>
      <c r="E737">
        <v>1</v>
      </c>
      <c r="F737" t="s">
        <v>240</v>
      </c>
      <c r="G737" t="s">
        <v>237</v>
      </c>
      <c r="H737">
        <v>1</v>
      </c>
      <c r="I737">
        <v>0</v>
      </c>
      <c r="J737">
        <v>0</v>
      </c>
      <c r="K737">
        <v>0</v>
      </c>
      <c r="L737">
        <v>0</v>
      </c>
    </row>
    <row r="738" spans="1:12" x14ac:dyDescent="0.35">
      <c r="A738" t="s">
        <v>400</v>
      </c>
      <c r="B738" s="7">
        <v>43736.551562499997</v>
      </c>
      <c r="C738" t="s">
        <v>24</v>
      </c>
      <c r="D738" t="s">
        <v>31</v>
      </c>
      <c r="E738">
        <v>1</v>
      </c>
      <c r="F738" t="s">
        <v>242</v>
      </c>
      <c r="G738" t="s">
        <v>231</v>
      </c>
      <c r="H738">
        <v>1</v>
      </c>
      <c r="I738">
        <v>0</v>
      </c>
      <c r="J738">
        <v>0</v>
      </c>
      <c r="K738">
        <v>0</v>
      </c>
      <c r="L738">
        <v>0</v>
      </c>
    </row>
    <row r="739" spans="1:12" x14ac:dyDescent="0.35">
      <c r="A739" t="s">
        <v>400</v>
      </c>
      <c r="B739" s="7">
        <v>43736.551562499997</v>
      </c>
      <c r="C739" t="s">
        <v>24</v>
      </c>
      <c r="D739" t="s">
        <v>229</v>
      </c>
      <c r="E739">
        <v>1</v>
      </c>
      <c r="F739" t="s">
        <v>242</v>
      </c>
      <c r="G739" t="s">
        <v>231</v>
      </c>
      <c r="H739">
        <v>1</v>
      </c>
      <c r="I739">
        <v>0</v>
      </c>
      <c r="J739">
        <v>0</v>
      </c>
      <c r="K739">
        <v>0</v>
      </c>
      <c r="L739">
        <v>0</v>
      </c>
    </row>
    <row r="740" spans="1:12" x14ac:dyDescent="0.35">
      <c r="A740" t="s">
        <v>402</v>
      </c>
      <c r="B740" s="7">
        <v>43737.551562499997</v>
      </c>
      <c r="C740" t="s">
        <v>24</v>
      </c>
      <c r="D740" t="s">
        <v>235</v>
      </c>
      <c r="E740">
        <v>1</v>
      </c>
      <c r="F740" t="s">
        <v>249</v>
      </c>
      <c r="G740" t="s">
        <v>231</v>
      </c>
      <c r="H740">
        <v>1</v>
      </c>
      <c r="I740">
        <v>0</v>
      </c>
      <c r="J740">
        <v>0</v>
      </c>
      <c r="K740">
        <v>0</v>
      </c>
      <c r="L740">
        <v>0</v>
      </c>
    </row>
    <row r="741" spans="1:12" x14ac:dyDescent="0.35">
      <c r="A741" t="s">
        <v>402</v>
      </c>
      <c r="B741" s="7">
        <v>43737.551562499997</v>
      </c>
      <c r="C741" t="s">
        <v>24</v>
      </c>
      <c r="D741" t="s">
        <v>34</v>
      </c>
      <c r="E741">
        <v>1</v>
      </c>
      <c r="F741" t="s">
        <v>236</v>
      </c>
      <c r="G741" t="s">
        <v>237</v>
      </c>
      <c r="H741">
        <v>1</v>
      </c>
      <c r="I741">
        <v>0</v>
      </c>
      <c r="J741">
        <v>0</v>
      </c>
      <c r="K741">
        <v>0</v>
      </c>
      <c r="L741">
        <v>0</v>
      </c>
    </row>
    <row r="742" spans="1:12" x14ac:dyDescent="0.35">
      <c r="A742" t="s">
        <v>402</v>
      </c>
      <c r="B742" s="7">
        <v>43737.551562499997</v>
      </c>
      <c r="C742" t="s">
        <v>24</v>
      </c>
      <c r="D742" t="s">
        <v>34</v>
      </c>
      <c r="E742">
        <v>1</v>
      </c>
      <c r="F742" t="s">
        <v>239</v>
      </c>
      <c r="G742" t="s">
        <v>237</v>
      </c>
      <c r="H742">
        <v>1</v>
      </c>
      <c r="I742">
        <v>0</v>
      </c>
      <c r="J742">
        <v>0</v>
      </c>
      <c r="K742">
        <v>0</v>
      </c>
      <c r="L742">
        <v>0</v>
      </c>
    </row>
    <row r="743" spans="1:12" x14ac:dyDescent="0.35">
      <c r="A743" t="s">
        <v>402</v>
      </c>
      <c r="B743" s="7">
        <v>43737.551562499997</v>
      </c>
      <c r="C743" t="s">
        <v>24</v>
      </c>
      <c r="D743" t="s">
        <v>34</v>
      </c>
      <c r="E743">
        <v>1</v>
      </c>
      <c r="F743" t="s">
        <v>240</v>
      </c>
      <c r="G743" t="s">
        <v>237</v>
      </c>
      <c r="H743">
        <v>1</v>
      </c>
      <c r="I743">
        <v>0</v>
      </c>
      <c r="J743">
        <v>0</v>
      </c>
      <c r="K743">
        <v>0</v>
      </c>
      <c r="L743">
        <v>0</v>
      </c>
    </row>
    <row r="744" spans="1:12" x14ac:dyDescent="0.35">
      <c r="A744" t="s">
        <v>402</v>
      </c>
      <c r="B744" s="7">
        <v>43737.551562499997</v>
      </c>
      <c r="C744" t="s">
        <v>24</v>
      </c>
      <c r="D744" t="s">
        <v>229</v>
      </c>
      <c r="E744">
        <v>1</v>
      </c>
      <c r="F744" t="s">
        <v>240</v>
      </c>
      <c r="G744" t="s">
        <v>237</v>
      </c>
      <c r="H744">
        <v>1</v>
      </c>
      <c r="I744">
        <v>0</v>
      </c>
      <c r="J744">
        <v>0</v>
      </c>
      <c r="K744">
        <v>0</v>
      </c>
      <c r="L744">
        <v>0</v>
      </c>
    </row>
    <row r="745" spans="1:12" x14ac:dyDescent="0.35">
      <c r="A745" t="s">
        <v>402</v>
      </c>
      <c r="B745" s="7">
        <v>43737.551562499997</v>
      </c>
      <c r="C745" t="s">
        <v>24</v>
      </c>
      <c r="D745" t="s">
        <v>238</v>
      </c>
      <c r="E745">
        <v>1</v>
      </c>
      <c r="F745" t="s">
        <v>240</v>
      </c>
      <c r="G745" t="s">
        <v>237</v>
      </c>
      <c r="H745">
        <v>1</v>
      </c>
      <c r="I745">
        <v>0</v>
      </c>
      <c r="J745">
        <v>0</v>
      </c>
      <c r="K745">
        <v>0</v>
      </c>
      <c r="L745">
        <v>0</v>
      </c>
    </row>
    <row r="746" spans="1:12" x14ac:dyDescent="0.35">
      <c r="A746" t="s">
        <v>403</v>
      </c>
      <c r="B746" s="7">
        <v>43737.551562499997</v>
      </c>
      <c r="C746" t="s">
        <v>108</v>
      </c>
      <c r="D746" t="s">
        <v>233</v>
      </c>
      <c r="E746">
        <v>1</v>
      </c>
      <c r="F746" t="s">
        <v>242</v>
      </c>
      <c r="G746" t="s">
        <v>231</v>
      </c>
      <c r="H746">
        <v>0</v>
      </c>
      <c r="I746">
        <v>0</v>
      </c>
      <c r="J746">
        <v>1</v>
      </c>
      <c r="K746">
        <v>0</v>
      </c>
      <c r="L746">
        <v>0</v>
      </c>
    </row>
    <row r="747" spans="1:12" x14ac:dyDescent="0.35">
      <c r="A747" t="s">
        <v>402</v>
      </c>
      <c r="B747" s="7">
        <v>43737.551562499997</v>
      </c>
      <c r="C747" t="s">
        <v>24</v>
      </c>
      <c r="D747" t="s">
        <v>235</v>
      </c>
      <c r="E747">
        <v>1</v>
      </c>
      <c r="F747" t="s">
        <v>242</v>
      </c>
      <c r="G747" t="s">
        <v>231</v>
      </c>
      <c r="H747">
        <v>1</v>
      </c>
      <c r="I747">
        <v>0</v>
      </c>
      <c r="J747">
        <v>0</v>
      </c>
      <c r="K747">
        <v>0</v>
      </c>
      <c r="L747">
        <v>0</v>
      </c>
    </row>
    <row r="748" spans="1:12" x14ac:dyDescent="0.35">
      <c r="A748" t="s">
        <v>404</v>
      </c>
      <c r="B748" s="7">
        <v>43738.551562499997</v>
      </c>
      <c r="C748" t="s">
        <v>24</v>
      </c>
      <c r="D748" t="s">
        <v>31</v>
      </c>
      <c r="E748">
        <v>1</v>
      </c>
      <c r="F748" t="s">
        <v>230</v>
      </c>
      <c r="G748" t="s">
        <v>231</v>
      </c>
      <c r="H748">
        <v>1</v>
      </c>
      <c r="I748">
        <v>0</v>
      </c>
      <c r="J748">
        <v>0</v>
      </c>
      <c r="K748">
        <v>0</v>
      </c>
      <c r="L748">
        <v>0</v>
      </c>
    </row>
    <row r="749" spans="1:12" x14ac:dyDescent="0.35">
      <c r="A749" t="s">
        <v>404</v>
      </c>
      <c r="B749" s="7">
        <v>43738.551562499997</v>
      </c>
      <c r="C749" t="s">
        <v>24</v>
      </c>
      <c r="D749" t="s">
        <v>235</v>
      </c>
      <c r="E749">
        <v>1</v>
      </c>
      <c r="F749" t="s">
        <v>230</v>
      </c>
      <c r="G749" t="s">
        <v>231</v>
      </c>
      <c r="H749">
        <v>1</v>
      </c>
      <c r="I749">
        <v>0</v>
      </c>
      <c r="J749">
        <v>0</v>
      </c>
      <c r="K749">
        <v>0</v>
      </c>
      <c r="L749">
        <v>0</v>
      </c>
    </row>
    <row r="750" spans="1:12" x14ac:dyDescent="0.35">
      <c r="A750" t="s">
        <v>404</v>
      </c>
      <c r="B750" s="7">
        <v>43738.551562499997</v>
      </c>
      <c r="C750" t="s">
        <v>24</v>
      </c>
      <c r="D750" t="s">
        <v>235</v>
      </c>
      <c r="E750">
        <v>1</v>
      </c>
      <c r="F750" t="s">
        <v>249</v>
      </c>
      <c r="G750" t="s">
        <v>231</v>
      </c>
      <c r="H750">
        <v>1</v>
      </c>
      <c r="I750">
        <v>0</v>
      </c>
      <c r="J750">
        <v>0</v>
      </c>
      <c r="K750">
        <v>0</v>
      </c>
      <c r="L750">
        <v>0</v>
      </c>
    </row>
    <row r="751" spans="1:12" x14ac:dyDescent="0.35">
      <c r="A751" t="s">
        <v>405</v>
      </c>
      <c r="B751" s="7">
        <v>43738.551562499997</v>
      </c>
      <c r="C751" t="s">
        <v>108</v>
      </c>
      <c r="D751" t="s">
        <v>229</v>
      </c>
      <c r="E751">
        <v>1</v>
      </c>
      <c r="F751" t="s">
        <v>249</v>
      </c>
      <c r="G751" t="s">
        <v>231</v>
      </c>
      <c r="H751">
        <v>0</v>
      </c>
      <c r="I751">
        <v>0</v>
      </c>
      <c r="J751">
        <v>1</v>
      </c>
      <c r="K751">
        <v>0</v>
      </c>
      <c r="L751">
        <v>0</v>
      </c>
    </row>
    <row r="752" spans="1:12" x14ac:dyDescent="0.35">
      <c r="A752" t="s">
        <v>406</v>
      </c>
      <c r="B752" s="7">
        <v>43738.551562499997</v>
      </c>
      <c r="C752" t="s">
        <v>228</v>
      </c>
      <c r="D752" t="s">
        <v>235</v>
      </c>
      <c r="E752">
        <v>1</v>
      </c>
      <c r="F752" t="s">
        <v>249</v>
      </c>
      <c r="G752" t="s">
        <v>231</v>
      </c>
      <c r="H752">
        <v>0</v>
      </c>
      <c r="I752">
        <v>1</v>
      </c>
      <c r="J752">
        <v>0</v>
      </c>
      <c r="K752">
        <v>0</v>
      </c>
      <c r="L752">
        <v>0</v>
      </c>
    </row>
    <row r="753" spans="1:12" x14ac:dyDescent="0.35">
      <c r="A753" t="s">
        <v>404</v>
      </c>
      <c r="B753" s="7">
        <v>43738.551562499997</v>
      </c>
      <c r="C753" t="s">
        <v>24</v>
      </c>
      <c r="D753" t="s">
        <v>34</v>
      </c>
      <c r="E753">
        <v>1</v>
      </c>
      <c r="F753" t="s">
        <v>239</v>
      </c>
      <c r="G753" t="s">
        <v>237</v>
      </c>
      <c r="H753">
        <v>1</v>
      </c>
      <c r="I753">
        <v>0</v>
      </c>
      <c r="J753">
        <v>0</v>
      </c>
      <c r="K753">
        <v>0</v>
      </c>
      <c r="L753">
        <v>0</v>
      </c>
    </row>
    <row r="754" spans="1:12" x14ac:dyDescent="0.35">
      <c r="A754" t="s">
        <v>406</v>
      </c>
      <c r="B754" s="7">
        <v>43738.551562499997</v>
      </c>
      <c r="C754" t="s">
        <v>228</v>
      </c>
      <c r="D754" t="s">
        <v>238</v>
      </c>
      <c r="E754">
        <v>1</v>
      </c>
      <c r="F754" t="s">
        <v>240</v>
      </c>
      <c r="G754" t="s">
        <v>237</v>
      </c>
      <c r="H754">
        <v>0</v>
      </c>
      <c r="I754">
        <v>1</v>
      </c>
      <c r="J754">
        <v>0</v>
      </c>
      <c r="K754">
        <v>0</v>
      </c>
      <c r="L754">
        <v>0</v>
      </c>
    </row>
    <row r="755" spans="1:12" x14ac:dyDescent="0.35">
      <c r="A755" t="s">
        <v>404</v>
      </c>
      <c r="B755" s="7">
        <v>43738.551562499997</v>
      </c>
      <c r="C755" t="s">
        <v>24</v>
      </c>
      <c r="D755" t="s">
        <v>31</v>
      </c>
      <c r="E755">
        <v>1</v>
      </c>
      <c r="F755" t="s">
        <v>240</v>
      </c>
      <c r="G755" t="s">
        <v>237</v>
      </c>
      <c r="H755">
        <v>1</v>
      </c>
      <c r="I755">
        <v>0</v>
      </c>
      <c r="J755">
        <v>0</v>
      </c>
      <c r="K755">
        <v>0</v>
      </c>
      <c r="L755">
        <v>0</v>
      </c>
    </row>
    <row r="756" spans="1:12" x14ac:dyDescent="0.35">
      <c r="A756" t="s">
        <v>404</v>
      </c>
      <c r="B756" s="7">
        <v>43738.551562499997</v>
      </c>
      <c r="C756" t="s">
        <v>24</v>
      </c>
      <c r="D756" t="s">
        <v>238</v>
      </c>
      <c r="E756">
        <v>1</v>
      </c>
      <c r="F756" t="s">
        <v>240</v>
      </c>
      <c r="G756" t="s">
        <v>237</v>
      </c>
      <c r="H756">
        <v>1</v>
      </c>
      <c r="I756">
        <v>0</v>
      </c>
      <c r="J756">
        <v>0</v>
      </c>
      <c r="K756">
        <v>0</v>
      </c>
      <c r="L756">
        <v>0</v>
      </c>
    </row>
    <row r="757" spans="1:12" x14ac:dyDescent="0.35">
      <c r="A757" t="s">
        <v>407</v>
      </c>
      <c r="B757" s="7">
        <v>43738.551562499997</v>
      </c>
      <c r="C757" t="s">
        <v>85</v>
      </c>
      <c r="D757" t="s">
        <v>34</v>
      </c>
      <c r="E757">
        <v>1</v>
      </c>
      <c r="F757" t="s">
        <v>242</v>
      </c>
      <c r="G757" t="s">
        <v>231</v>
      </c>
      <c r="H757">
        <v>0</v>
      </c>
      <c r="I757">
        <v>0</v>
      </c>
      <c r="J757">
        <v>0</v>
      </c>
      <c r="K757">
        <v>1</v>
      </c>
      <c r="L757">
        <v>0</v>
      </c>
    </row>
    <row r="758" spans="1:12" x14ac:dyDescent="0.35">
      <c r="A758" t="s">
        <v>404</v>
      </c>
      <c r="B758" s="7">
        <v>43738.551562499997</v>
      </c>
      <c r="C758" t="s">
        <v>24</v>
      </c>
      <c r="D758" t="s">
        <v>233</v>
      </c>
      <c r="E758">
        <v>1</v>
      </c>
      <c r="F758" t="s">
        <v>242</v>
      </c>
      <c r="G758" t="s">
        <v>231</v>
      </c>
      <c r="H758">
        <v>1</v>
      </c>
      <c r="I758">
        <v>0</v>
      </c>
      <c r="J758">
        <v>0</v>
      </c>
      <c r="K758">
        <v>0</v>
      </c>
      <c r="L758">
        <v>0</v>
      </c>
    </row>
    <row r="759" spans="1:12" x14ac:dyDescent="0.35">
      <c r="A759" t="s">
        <v>407</v>
      </c>
      <c r="B759" s="7">
        <v>43738.551562499997</v>
      </c>
      <c r="C759" t="s">
        <v>85</v>
      </c>
      <c r="D759" t="s">
        <v>235</v>
      </c>
      <c r="E759">
        <v>1</v>
      </c>
      <c r="F759" t="s">
        <v>242</v>
      </c>
      <c r="G759" t="s">
        <v>231</v>
      </c>
      <c r="H759">
        <v>0</v>
      </c>
      <c r="I759">
        <v>0</v>
      </c>
      <c r="J759">
        <v>0</v>
      </c>
      <c r="K759">
        <v>1</v>
      </c>
      <c r="L759">
        <v>0</v>
      </c>
    </row>
    <row r="760" spans="1:12" x14ac:dyDescent="0.35">
      <c r="A760" t="s">
        <v>408</v>
      </c>
      <c r="B760" s="7">
        <v>43739.551562499997</v>
      </c>
      <c r="C760" t="s">
        <v>24</v>
      </c>
      <c r="D760" t="s">
        <v>229</v>
      </c>
      <c r="E760">
        <v>1</v>
      </c>
      <c r="F760" t="s">
        <v>230</v>
      </c>
      <c r="G760" t="s">
        <v>231</v>
      </c>
      <c r="H760">
        <v>1</v>
      </c>
      <c r="I760">
        <v>0</v>
      </c>
      <c r="J760">
        <v>0</v>
      </c>
      <c r="K760">
        <v>0</v>
      </c>
      <c r="L760">
        <v>0</v>
      </c>
    </row>
    <row r="761" spans="1:12" x14ac:dyDescent="0.35">
      <c r="A761" t="s">
        <v>408</v>
      </c>
      <c r="B761" s="7">
        <v>43739.551562499997</v>
      </c>
      <c r="C761" t="s">
        <v>24</v>
      </c>
      <c r="D761" t="s">
        <v>235</v>
      </c>
      <c r="E761">
        <v>1</v>
      </c>
      <c r="F761" t="s">
        <v>230</v>
      </c>
      <c r="G761" t="s">
        <v>231</v>
      </c>
      <c r="H761">
        <v>1</v>
      </c>
      <c r="I761">
        <v>0</v>
      </c>
      <c r="J761">
        <v>0</v>
      </c>
      <c r="K761">
        <v>0</v>
      </c>
      <c r="L761">
        <v>0</v>
      </c>
    </row>
    <row r="762" spans="1:12" x14ac:dyDescent="0.35">
      <c r="A762" t="s">
        <v>408</v>
      </c>
      <c r="B762" s="7">
        <v>43739.551562499997</v>
      </c>
      <c r="C762" t="s">
        <v>24</v>
      </c>
      <c r="D762" t="s">
        <v>233</v>
      </c>
      <c r="E762">
        <v>1</v>
      </c>
      <c r="F762" t="s">
        <v>230</v>
      </c>
      <c r="G762" t="s">
        <v>231</v>
      </c>
      <c r="H762">
        <v>1</v>
      </c>
      <c r="I762">
        <v>0</v>
      </c>
      <c r="J762">
        <v>0</v>
      </c>
      <c r="K762">
        <v>0</v>
      </c>
      <c r="L762">
        <v>0</v>
      </c>
    </row>
    <row r="763" spans="1:12" x14ac:dyDescent="0.35">
      <c r="A763" t="s">
        <v>408</v>
      </c>
      <c r="B763" s="7">
        <v>43739.551562499997</v>
      </c>
      <c r="C763" t="s">
        <v>24</v>
      </c>
      <c r="D763" t="s">
        <v>229</v>
      </c>
      <c r="E763">
        <v>1</v>
      </c>
      <c r="F763" t="s">
        <v>249</v>
      </c>
      <c r="G763" t="s">
        <v>231</v>
      </c>
      <c r="H763">
        <v>1</v>
      </c>
      <c r="I763">
        <v>0</v>
      </c>
      <c r="J763">
        <v>0</v>
      </c>
      <c r="K763">
        <v>0</v>
      </c>
      <c r="L763">
        <v>0</v>
      </c>
    </row>
    <row r="764" spans="1:12" x14ac:dyDescent="0.35">
      <c r="A764" t="s">
        <v>408</v>
      </c>
      <c r="B764" s="7">
        <v>43739.551562499997</v>
      </c>
      <c r="C764" t="s">
        <v>24</v>
      </c>
      <c r="D764" t="s">
        <v>235</v>
      </c>
      <c r="E764">
        <v>1</v>
      </c>
      <c r="F764" t="s">
        <v>249</v>
      </c>
      <c r="G764" t="s">
        <v>231</v>
      </c>
      <c r="H764">
        <v>1</v>
      </c>
      <c r="I764">
        <v>0</v>
      </c>
      <c r="J764">
        <v>0</v>
      </c>
      <c r="K764">
        <v>0</v>
      </c>
      <c r="L764">
        <v>0</v>
      </c>
    </row>
    <row r="765" spans="1:12" x14ac:dyDescent="0.35">
      <c r="A765" t="s">
        <v>409</v>
      </c>
      <c r="B765" s="7">
        <v>43739.551562499997</v>
      </c>
      <c r="C765" t="s">
        <v>228</v>
      </c>
      <c r="D765" t="s">
        <v>235</v>
      </c>
      <c r="E765">
        <v>1</v>
      </c>
      <c r="F765" t="s">
        <v>236</v>
      </c>
      <c r="G765" t="s">
        <v>237</v>
      </c>
      <c r="H765">
        <v>0</v>
      </c>
      <c r="I765">
        <v>1</v>
      </c>
      <c r="J765">
        <v>0</v>
      </c>
      <c r="K765">
        <v>0</v>
      </c>
      <c r="L765">
        <v>0</v>
      </c>
    </row>
    <row r="766" spans="1:12" x14ac:dyDescent="0.35">
      <c r="A766" t="s">
        <v>408</v>
      </c>
      <c r="B766" s="7">
        <v>43739.551562499997</v>
      </c>
      <c r="C766" t="s">
        <v>24</v>
      </c>
      <c r="D766" t="s">
        <v>238</v>
      </c>
      <c r="E766">
        <v>1</v>
      </c>
      <c r="F766" t="s">
        <v>239</v>
      </c>
      <c r="G766" t="s">
        <v>237</v>
      </c>
      <c r="H766">
        <v>1</v>
      </c>
      <c r="I766">
        <v>0</v>
      </c>
      <c r="J766">
        <v>0</v>
      </c>
      <c r="K766">
        <v>0</v>
      </c>
      <c r="L766">
        <v>0</v>
      </c>
    </row>
    <row r="767" spans="1:12" x14ac:dyDescent="0.35">
      <c r="A767" t="s">
        <v>408</v>
      </c>
      <c r="B767" s="7">
        <v>43739.551562499997</v>
      </c>
      <c r="C767" t="s">
        <v>24</v>
      </c>
      <c r="D767" t="s">
        <v>229</v>
      </c>
      <c r="E767">
        <v>1</v>
      </c>
      <c r="F767" t="s">
        <v>239</v>
      </c>
      <c r="G767" t="s">
        <v>237</v>
      </c>
      <c r="H767">
        <v>1</v>
      </c>
      <c r="I767">
        <v>0</v>
      </c>
      <c r="J767">
        <v>0</v>
      </c>
      <c r="K767">
        <v>0</v>
      </c>
      <c r="L767">
        <v>0</v>
      </c>
    </row>
    <row r="768" spans="1:12" x14ac:dyDescent="0.35">
      <c r="A768" t="s">
        <v>410</v>
      </c>
      <c r="B768" s="7">
        <v>43739.551562499997</v>
      </c>
      <c r="C768" t="s">
        <v>108</v>
      </c>
      <c r="D768" t="s">
        <v>235</v>
      </c>
      <c r="E768">
        <v>1</v>
      </c>
      <c r="F768" t="s">
        <v>239</v>
      </c>
      <c r="G768" t="s">
        <v>237</v>
      </c>
      <c r="H768">
        <v>0</v>
      </c>
      <c r="I768">
        <v>0</v>
      </c>
      <c r="J768">
        <v>1</v>
      </c>
      <c r="K768">
        <v>0</v>
      </c>
      <c r="L768">
        <v>0</v>
      </c>
    </row>
    <row r="769" spans="1:12" x14ac:dyDescent="0.35">
      <c r="A769" t="s">
        <v>408</v>
      </c>
      <c r="B769" s="7">
        <v>43739.551562499997</v>
      </c>
      <c r="C769" t="s">
        <v>24</v>
      </c>
      <c r="D769" t="s">
        <v>34</v>
      </c>
      <c r="E769">
        <v>1</v>
      </c>
      <c r="F769" t="s">
        <v>240</v>
      </c>
      <c r="G769" t="s">
        <v>237</v>
      </c>
      <c r="H769">
        <v>1</v>
      </c>
      <c r="I769">
        <v>0</v>
      </c>
      <c r="J769">
        <v>0</v>
      </c>
      <c r="K769">
        <v>0</v>
      </c>
      <c r="L769">
        <v>0</v>
      </c>
    </row>
    <row r="770" spans="1:12" x14ac:dyDescent="0.35">
      <c r="A770" t="s">
        <v>408</v>
      </c>
      <c r="B770" s="7">
        <v>43739.551562499997</v>
      </c>
      <c r="C770" t="s">
        <v>24</v>
      </c>
      <c r="D770" t="s">
        <v>31</v>
      </c>
      <c r="E770">
        <v>1</v>
      </c>
      <c r="F770" t="s">
        <v>242</v>
      </c>
      <c r="G770" t="s">
        <v>231</v>
      </c>
      <c r="H770">
        <v>1</v>
      </c>
      <c r="I770">
        <v>0</v>
      </c>
      <c r="J770">
        <v>0</v>
      </c>
      <c r="K770">
        <v>0</v>
      </c>
      <c r="L770">
        <v>0</v>
      </c>
    </row>
    <row r="771" spans="1:12" x14ac:dyDescent="0.35">
      <c r="A771" t="s">
        <v>410</v>
      </c>
      <c r="B771" s="7">
        <v>43739.551562499997</v>
      </c>
      <c r="C771" t="s">
        <v>108</v>
      </c>
      <c r="D771" t="s">
        <v>238</v>
      </c>
      <c r="E771">
        <v>1</v>
      </c>
      <c r="F771" t="s">
        <v>242</v>
      </c>
      <c r="G771" t="s">
        <v>231</v>
      </c>
      <c r="H771">
        <v>0</v>
      </c>
      <c r="I771">
        <v>0</v>
      </c>
      <c r="J771">
        <v>1</v>
      </c>
      <c r="K771">
        <v>0</v>
      </c>
      <c r="L771">
        <v>0</v>
      </c>
    </row>
    <row r="772" spans="1:12" x14ac:dyDescent="0.35">
      <c r="A772" t="s">
        <v>411</v>
      </c>
      <c r="B772" s="7">
        <v>43740.551562499997</v>
      </c>
      <c r="C772" t="s">
        <v>24</v>
      </c>
      <c r="D772" t="s">
        <v>31</v>
      </c>
      <c r="E772">
        <v>1</v>
      </c>
      <c r="F772" t="s">
        <v>230</v>
      </c>
      <c r="G772" t="s">
        <v>231</v>
      </c>
      <c r="H772">
        <v>1</v>
      </c>
      <c r="I772">
        <v>0</v>
      </c>
      <c r="J772">
        <v>0</v>
      </c>
      <c r="K772">
        <v>0</v>
      </c>
      <c r="L772">
        <v>0</v>
      </c>
    </row>
    <row r="773" spans="1:12" x14ac:dyDescent="0.35">
      <c r="A773" t="s">
        <v>411</v>
      </c>
      <c r="B773" s="7">
        <v>43740.551562499997</v>
      </c>
      <c r="C773" t="s">
        <v>24</v>
      </c>
      <c r="D773" t="s">
        <v>233</v>
      </c>
      <c r="E773">
        <v>1</v>
      </c>
      <c r="F773" t="s">
        <v>230</v>
      </c>
      <c r="G773" t="s">
        <v>231</v>
      </c>
      <c r="H773">
        <v>1</v>
      </c>
      <c r="I773">
        <v>0</v>
      </c>
      <c r="J773">
        <v>0</v>
      </c>
      <c r="K773">
        <v>0</v>
      </c>
      <c r="L773">
        <v>0</v>
      </c>
    </row>
    <row r="774" spans="1:12" x14ac:dyDescent="0.35">
      <c r="A774" t="s">
        <v>412</v>
      </c>
      <c r="B774" s="7">
        <v>43740.551562499997</v>
      </c>
      <c r="C774" t="s">
        <v>228</v>
      </c>
      <c r="D774" t="s">
        <v>235</v>
      </c>
      <c r="E774">
        <v>1</v>
      </c>
      <c r="F774" t="s">
        <v>249</v>
      </c>
      <c r="G774" t="s">
        <v>231</v>
      </c>
      <c r="H774">
        <v>0</v>
      </c>
      <c r="I774">
        <v>1</v>
      </c>
      <c r="J774">
        <v>0</v>
      </c>
      <c r="K774">
        <v>0</v>
      </c>
      <c r="L774">
        <v>0</v>
      </c>
    </row>
    <row r="775" spans="1:12" x14ac:dyDescent="0.35">
      <c r="A775" t="s">
        <v>411</v>
      </c>
      <c r="B775" s="7">
        <v>43740.551562499997</v>
      </c>
      <c r="C775" t="s">
        <v>24</v>
      </c>
      <c r="D775" t="s">
        <v>238</v>
      </c>
      <c r="E775">
        <v>1</v>
      </c>
      <c r="F775" t="s">
        <v>249</v>
      </c>
      <c r="G775" t="s">
        <v>231</v>
      </c>
      <c r="H775">
        <v>1</v>
      </c>
      <c r="I775">
        <v>0</v>
      </c>
      <c r="J775">
        <v>0</v>
      </c>
      <c r="K775">
        <v>0</v>
      </c>
      <c r="L775">
        <v>0</v>
      </c>
    </row>
    <row r="776" spans="1:12" x14ac:dyDescent="0.35">
      <c r="A776" t="s">
        <v>411</v>
      </c>
      <c r="B776" s="7">
        <v>43740.551562499997</v>
      </c>
      <c r="C776" t="s">
        <v>24</v>
      </c>
      <c r="D776" t="s">
        <v>235</v>
      </c>
      <c r="E776">
        <v>1</v>
      </c>
      <c r="F776" t="s">
        <v>249</v>
      </c>
      <c r="G776" t="s">
        <v>231</v>
      </c>
      <c r="H776">
        <v>1</v>
      </c>
      <c r="I776">
        <v>0</v>
      </c>
      <c r="J776">
        <v>0</v>
      </c>
      <c r="K776">
        <v>0</v>
      </c>
      <c r="L776">
        <v>0</v>
      </c>
    </row>
    <row r="777" spans="1:12" x14ac:dyDescent="0.35">
      <c r="A777" t="s">
        <v>411</v>
      </c>
      <c r="B777" s="7">
        <v>43740.551562499997</v>
      </c>
      <c r="C777" t="s">
        <v>24</v>
      </c>
      <c r="D777" t="s">
        <v>238</v>
      </c>
      <c r="E777">
        <v>1</v>
      </c>
      <c r="F777" t="s">
        <v>249</v>
      </c>
      <c r="G777" t="s">
        <v>231</v>
      </c>
      <c r="H777">
        <v>1</v>
      </c>
      <c r="I777">
        <v>0</v>
      </c>
      <c r="J777">
        <v>0</v>
      </c>
      <c r="K777">
        <v>0</v>
      </c>
      <c r="L777">
        <v>0</v>
      </c>
    </row>
    <row r="778" spans="1:12" x14ac:dyDescent="0.35">
      <c r="A778" t="s">
        <v>413</v>
      </c>
      <c r="B778" s="7">
        <v>43740.551562499997</v>
      </c>
      <c r="C778" t="s">
        <v>108</v>
      </c>
      <c r="D778" t="s">
        <v>233</v>
      </c>
      <c r="E778">
        <v>1</v>
      </c>
      <c r="F778" t="s">
        <v>236</v>
      </c>
      <c r="G778" t="s">
        <v>237</v>
      </c>
      <c r="H778">
        <v>0</v>
      </c>
      <c r="I778">
        <v>0</v>
      </c>
      <c r="J778">
        <v>1</v>
      </c>
      <c r="K778">
        <v>0</v>
      </c>
      <c r="L778">
        <v>0</v>
      </c>
    </row>
    <row r="779" spans="1:12" x14ac:dyDescent="0.35">
      <c r="A779" t="s">
        <v>411</v>
      </c>
      <c r="B779" s="7">
        <v>43740.551562499997</v>
      </c>
      <c r="C779" t="s">
        <v>24</v>
      </c>
      <c r="D779" t="s">
        <v>229</v>
      </c>
      <c r="E779">
        <v>1</v>
      </c>
      <c r="F779" t="s">
        <v>236</v>
      </c>
      <c r="G779" t="s">
        <v>237</v>
      </c>
      <c r="H779">
        <v>1</v>
      </c>
      <c r="I779">
        <v>0</v>
      </c>
      <c r="J779">
        <v>0</v>
      </c>
      <c r="K779">
        <v>0</v>
      </c>
      <c r="L779">
        <v>0</v>
      </c>
    </row>
    <row r="780" spans="1:12" x14ac:dyDescent="0.35">
      <c r="A780" t="s">
        <v>411</v>
      </c>
      <c r="B780" s="7">
        <v>43740.551562499997</v>
      </c>
      <c r="C780" t="s">
        <v>24</v>
      </c>
      <c r="D780" t="s">
        <v>34</v>
      </c>
      <c r="E780">
        <v>1</v>
      </c>
      <c r="F780" t="s">
        <v>239</v>
      </c>
      <c r="G780" t="s">
        <v>237</v>
      </c>
      <c r="H780">
        <v>1</v>
      </c>
      <c r="I780">
        <v>0</v>
      </c>
      <c r="J780">
        <v>0</v>
      </c>
      <c r="K780">
        <v>0</v>
      </c>
      <c r="L780">
        <v>0</v>
      </c>
    </row>
    <row r="781" spans="1:12" x14ac:dyDescent="0.35">
      <c r="A781" t="s">
        <v>412</v>
      </c>
      <c r="B781" s="7">
        <v>43740.551562499997</v>
      </c>
      <c r="C781" t="s">
        <v>228</v>
      </c>
      <c r="D781" t="s">
        <v>34</v>
      </c>
      <c r="E781">
        <v>1</v>
      </c>
      <c r="F781" t="s">
        <v>240</v>
      </c>
      <c r="G781" t="s">
        <v>237</v>
      </c>
      <c r="H781">
        <v>0</v>
      </c>
      <c r="I781">
        <v>1</v>
      </c>
      <c r="J781">
        <v>0</v>
      </c>
      <c r="K781">
        <v>0</v>
      </c>
      <c r="L781">
        <v>0</v>
      </c>
    </row>
    <row r="782" spans="1:12" x14ac:dyDescent="0.35">
      <c r="A782" t="s">
        <v>411</v>
      </c>
      <c r="B782" s="7">
        <v>43740.551562499997</v>
      </c>
      <c r="C782" t="s">
        <v>24</v>
      </c>
      <c r="D782" t="s">
        <v>238</v>
      </c>
      <c r="E782">
        <v>1</v>
      </c>
      <c r="F782" t="s">
        <v>242</v>
      </c>
      <c r="G782" t="s">
        <v>231</v>
      </c>
      <c r="H782">
        <v>1</v>
      </c>
      <c r="I782">
        <v>0</v>
      </c>
      <c r="J782">
        <v>0</v>
      </c>
      <c r="K782">
        <v>0</v>
      </c>
      <c r="L782">
        <v>0</v>
      </c>
    </row>
    <row r="783" spans="1:12" x14ac:dyDescent="0.35">
      <c r="A783" t="s">
        <v>411</v>
      </c>
      <c r="B783" s="7">
        <v>43740.551562499997</v>
      </c>
      <c r="C783" t="s">
        <v>24</v>
      </c>
      <c r="D783" t="s">
        <v>238</v>
      </c>
      <c r="E783">
        <v>1</v>
      </c>
      <c r="F783" t="s">
        <v>242</v>
      </c>
      <c r="G783" t="s">
        <v>231</v>
      </c>
      <c r="H783">
        <v>1</v>
      </c>
      <c r="I783">
        <v>0</v>
      </c>
      <c r="J783">
        <v>0</v>
      </c>
      <c r="K783">
        <v>0</v>
      </c>
      <c r="L783">
        <v>0</v>
      </c>
    </row>
    <row r="784" spans="1:12" x14ac:dyDescent="0.35">
      <c r="A784" t="s">
        <v>414</v>
      </c>
      <c r="B784" s="7">
        <v>43741.551562499997</v>
      </c>
      <c r="C784" t="s">
        <v>24</v>
      </c>
      <c r="D784" t="s">
        <v>31</v>
      </c>
      <c r="E784">
        <v>1</v>
      </c>
      <c r="F784" t="s">
        <v>230</v>
      </c>
      <c r="G784" t="s">
        <v>231</v>
      </c>
      <c r="H784">
        <v>1</v>
      </c>
      <c r="I784">
        <v>0</v>
      </c>
      <c r="J784">
        <v>0</v>
      </c>
      <c r="K784">
        <v>0</v>
      </c>
      <c r="L784">
        <v>0</v>
      </c>
    </row>
    <row r="785" spans="1:12" x14ac:dyDescent="0.35">
      <c r="A785" t="s">
        <v>414</v>
      </c>
      <c r="B785" s="7">
        <v>43741.551562499997</v>
      </c>
      <c r="C785" t="s">
        <v>24</v>
      </c>
      <c r="D785" t="s">
        <v>34</v>
      </c>
      <c r="E785">
        <v>1</v>
      </c>
      <c r="F785" t="s">
        <v>230</v>
      </c>
      <c r="G785" t="s">
        <v>231</v>
      </c>
      <c r="H785">
        <v>1</v>
      </c>
      <c r="I785">
        <v>0</v>
      </c>
      <c r="J785">
        <v>0</v>
      </c>
      <c r="K785">
        <v>0</v>
      </c>
      <c r="L785">
        <v>0</v>
      </c>
    </row>
    <row r="786" spans="1:12" x14ac:dyDescent="0.35">
      <c r="A786" t="s">
        <v>414</v>
      </c>
      <c r="B786" s="7">
        <v>43741.551562499997</v>
      </c>
      <c r="C786" t="s">
        <v>24</v>
      </c>
      <c r="D786" t="s">
        <v>238</v>
      </c>
      <c r="E786">
        <v>1</v>
      </c>
      <c r="F786" t="s">
        <v>230</v>
      </c>
      <c r="G786" t="s">
        <v>231</v>
      </c>
      <c r="H786">
        <v>1</v>
      </c>
      <c r="I786">
        <v>0</v>
      </c>
      <c r="J786">
        <v>0</v>
      </c>
      <c r="K786">
        <v>0</v>
      </c>
      <c r="L786">
        <v>0</v>
      </c>
    </row>
    <row r="787" spans="1:12" x14ac:dyDescent="0.35">
      <c r="A787" t="s">
        <v>414</v>
      </c>
      <c r="B787" s="7">
        <v>43741.551562499997</v>
      </c>
      <c r="C787" t="s">
        <v>24</v>
      </c>
      <c r="D787" t="s">
        <v>235</v>
      </c>
      <c r="E787">
        <v>1</v>
      </c>
      <c r="F787" t="s">
        <v>249</v>
      </c>
      <c r="G787" t="s">
        <v>231</v>
      </c>
      <c r="H787">
        <v>1</v>
      </c>
      <c r="I787">
        <v>0</v>
      </c>
      <c r="J787">
        <v>0</v>
      </c>
      <c r="K787">
        <v>0</v>
      </c>
      <c r="L787">
        <v>0</v>
      </c>
    </row>
    <row r="788" spans="1:12" x14ac:dyDescent="0.35">
      <c r="A788" t="s">
        <v>414</v>
      </c>
      <c r="B788" s="7">
        <v>43741.551562499997</v>
      </c>
      <c r="C788" t="s">
        <v>24</v>
      </c>
      <c r="D788" t="s">
        <v>229</v>
      </c>
      <c r="E788">
        <v>1</v>
      </c>
      <c r="F788" t="s">
        <v>249</v>
      </c>
      <c r="G788" t="s">
        <v>231</v>
      </c>
      <c r="H788">
        <v>1</v>
      </c>
      <c r="I788">
        <v>0</v>
      </c>
      <c r="J788">
        <v>0</v>
      </c>
      <c r="K788">
        <v>0</v>
      </c>
      <c r="L788">
        <v>0</v>
      </c>
    </row>
    <row r="789" spans="1:12" x14ac:dyDescent="0.35">
      <c r="A789" t="s">
        <v>415</v>
      </c>
      <c r="B789" s="7">
        <v>43741.551562499997</v>
      </c>
      <c r="C789" t="s">
        <v>108</v>
      </c>
      <c r="D789" t="s">
        <v>233</v>
      </c>
      <c r="E789">
        <v>1</v>
      </c>
      <c r="F789" t="s">
        <v>239</v>
      </c>
      <c r="G789" t="s">
        <v>237</v>
      </c>
      <c r="H789">
        <v>0</v>
      </c>
      <c r="I789">
        <v>0</v>
      </c>
      <c r="J789">
        <v>1</v>
      </c>
      <c r="K789">
        <v>0</v>
      </c>
      <c r="L789">
        <v>0</v>
      </c>
    </row>
    <row r="790" spans="1:12" x14ac:dyDescent="0.35">
      <c r="A790" t="s">
        <v>414</v>
      </c>
      <c r="B790" s="7">
        <v>43741.551562499997</v>
      </c>
      <c r="C790" t="s">
        <v>24</v>
      </c>
      <c r="D790" t="s">
        <v>34</v>
      </c>
      <c r="E790">
        <v>1</v>
      </c>
      <c r="F790" t="s">
        <v>239</v>
      </c>
      <c r="G790" t="s">
        <v>237</v>
      </c>
      <c r="H790">
        <v>1</v>
      </c>
      <c r="I790">
        <v>0</v>
      </c>
      <c r="J790">
        <v>0</v>
      </c>
      <c r="K790">
        <v>0</v>
      </c>
      <c r="L790">
        <v>0</v>
      </c>
    </row>
    <row r="791" spans="1:12" x14ac:dyDescent="0.35">
      <c r="A791" t="s">
        <v>414</v>
      </c>
      <c r="B791" s="7">
        <v>43741.551562499997</v>
      </c>
      <c r="C791" t="s">
        <v>24</v>
      </c>
      <c r="D791" t="s">
        <v>235</v>
      </c>
      <c r="E791">
        <v>1</v>
      </c>
      <c r="F791" t="s">
        <v>240</v>
      </c>
      <c r="G791" t="s">
        <v>237</v>
      </c>
      <c r="H791">
        <v>1</v>
      </c>
      <c r="I791">
        <v>0</v>
      </c>
      <c r="J791">
        <v>0</v>
      </c>
      <c r="K791">
        <v>0</v>
      </c>
      <c r="L791">
        <v>0</v>
      </c>
    </row>
    <row r="792" spans="1:12" x14ac:dyDescent="0.35">
      <c r="A792" t="s">
        <v>414</v>
      </c>
      <c r="B792" s="7">
        <v>43741.551562499997</v>
      </c>
      <c r="C792" t="s">
        <v>24</v>
      </c>
      <c r="D792" t="s">
        <v>233</v>
      </c>
      <c r="E792">
        <v>1</v>
      </c>
      <c r="F792" t="s">
        <v>240</v>
      </c>
      <c r="G792" t="s">
        <v>237</v>
      </c>
      <c r="H792">
        <v>1</v>
      </c>
      <c r="I792">
        <v>0</v>
      </c>
      <c r="J792">
        <v>0</v>
      </c>
      <c r="K792">
        <v>0</v>
      </c>
      <c r="L792">
        <v>0</v>
      </c>
    </row>
    <row r="793" spans="1:12" x14ac:dyDescent="0.35">
      <c r="A793" t="s">
        <v>414</v>
      </c>
      <c r="B793" s="7">
        <v>43741.551562499997</v>
      </c>
      <c r="C793" t="s">
        <v>24</v>
      </c>
      <c r="D793" t="s">
        <v>31</v>
      </c>
      <c r="E793">
        <v>1</v>
      </c>
      <c r="F793" t="s">
        <v>242</v>
      </c>
      <c r="G793" t="s">
        <v>231</v>
      </c>
      <c r="H793">
        <v>1</v>
      </c>
      <c r="I793">
        <v>0</v>
      </c>
      <c r="J793">
        <v>0</v>
      </c>
      <c r="K793">
        <v>0</v>
      </c>
      <c r="L793">
        <v>0</v>
      </c>
    </row>
    <row r="794" spans="1:12" x14ac:dyDescent="0.35">
      <c r="A794" t="s">
        <v>416</v>
      </c>
      <c r="B794" s="7">
        <v>43742.551562499997</v>
      </c>
      <c r="C794" t="s">
        <v>85</v>
      </c>
      <c r="D794" t="s">
        <v>229</v>
      </c>
      <c r="E794">
        <v>1</v>
      </c>
      <c r="F794" t="s">
        <v>249</v>
      </c>
      <c r="G794" t="s">
        <v>231</v>
      </c>
      <c r="H794">
        <v>0</v>
      </c>
      <c r="I794">
        <v>0</v>
      </c>
      <c r="J794">
        <v>0</v>
      </c>
      <c r="K794">
        <v>1</v>
      </c>
      <c r="L794">
        <v>0</v>
      </c>
    </row>
    <row r="795" spans="1:12" x14ac:dyDescent="0.35">
      <c r="A795" t="s">
        <v>417</v>
      </c>
      <c r="B795" s="7">
        <v>43742.551562499997</v>
      </c>
      <c r="C795" t="s">
        <v>24</v>
      </c>
      <c r="D795" t="s">
        <v>233</v>
      </c>
      <c r="E795">
        <v>1</v>
      </c>
      <c r="F795" t="s">
        <v>249</v>
      </c>
      <c r="G795" t="s">
        <v>231</v>
      </c>
      <c r="H795">
        <v>1</v>
      </c>
      <c r="I795">
        <v>0</v>
      </c>
      <c r="J795">
        <v>0</v>
      </c>
      <c r="K795">
        <v>0</v>
      </c>
      <c r="L795">
        <v>0</v>
      </c>
    </row>
    <row r="796" spans="1:12" x14ac:dyDescent="0.35">
      <c r="A796" t="s">
        <v>416</v>
      </c>
      <c r="B796" s="7">
        <v>43742.551562499997</v>
      </c>
      <c r="C796" t="s">
        <v>85</v>
      </c>
      <c r="D796" t="s">
        <v>34</v>
      </c>
      <c r="E796">
        <v>1</v>
      </c>
      <c r="F796" t="s">
        <v>236</v>
      </c>
      <c r="G796" t="s">
        <v>237</v>
      </c>
      <c r="H796">
        <v>0</v>
      </c>
      <c r="I796">
        <v>0</v>
      </c>
      <c r="J796">
        <v>0</v>
      </c>
      <c r="K796">
        <v>1</v>
      </c>
      <c r="L796">
        <v>0</v>
      </c>
    </row>
    <row r="797" spans="1:12" x14ac:dyDescent="0.35">
      <c r="A797" t="s">
        <v>417</v>
      </c>
      <c r="B797" s="7">
        <v>43742.551562499997</v>
      </c>
      <c r="C797" t="s">
        <v>24</v>
      </c>
      <c r="D797" t="s">
        <v>34</v>
      </c>
      <c r="E797">
        <v>1</v>
      </c>
      <c r="F797" t="s">
        <v>239</v>
      </c>
      <c r="G797" t="s">
        <v>237</v>
      </c>
      <c r="H797">
        <v>1</v>
      </c>
      <c r="I797">
        <v>0</v>
      </c>
      <c r="J797">
        <v>0</v>
      </c>
      <c r="K797">
        <v>0</v>
      </c>
      <c r="L797">
        <v>0</v>
      </c>
    </row>
    <row r="798" spans="1:12" x14ac:dyDescent="0.35">
      <c r="A798" t="s">
        <v>417</v>
      </c>
      <c r="B798" s="7">
        <v>43742.551562499997</v>
      </c>
      <c r="C798" t="s">
        <v>24</v>
      </c>
      <c r="D798" t="s">
        <v>229</v>
      </c>
      <c r="E798">
        <v>1</v>
      </c>
      <c r="F798" t="s">
        <v>240</v>
      </c>
      <c r="G798" t="s">
        <v>237</v>
      </c>
      <c r="H798">
        <v>1</v>
      </c>
      <c r="I798">
        <v>0</v>
      </c>
      <c r="J798">
        <v>0</v>
      </c>
      <c r="K798">
        <v>0</v>
      </c>
      <c r="L798">
        <v>0</v>
      </c>
    </row>
    <row r="799" spans="1:12" x14ac:dyDescent="0.35">
      <c r="A799" t="s">
        <v>417</v>
      </c>
      <c r="B799" s="7">
        <v>43742.551562499997</v>
      </c>
      <c r="C799" t="s">
        <v>24</v>
      </c>
      <c r="D799" t="s">
        <v>235</v>
      </c>
      <c r="E799">
        <v>1</v>
      </c>
      <c r="F799" t="s">
        <v>242</v>
      </c>
      <c r="G799" t="s">
        <v>231</v>
      </c>
      <c r="H799">
        <v>1</v>
      </c>
      <c r="I799">
        <v>0</v>
      </c>
      <c r="J799">
        <v>0</v>
      </c>
      <c r="K799">
        <v>0</v>
      </c>
      <c r="L799">
        <v>0</v>
      </c>
    </row>
    <row r="800" spans="1:12" x14ac:dyDescent="0.35">
      <c r="A800" t="s">
        <v>418</v>
      </c>
      <c r="B800" s="7">
        <v>43743.551562499997</v>
      </c>
      <c r="C800" t="s">
        <v>228</v>
      </c>
      <c r="D800" t="s">
        <v>34</v>
      </c>
      <c r="E800">
        <v>1</v>
      </c>
      <c r="F800" t="s">
        <v>230</v>
      </c>
      <c r="G800" t="s">
        <v>231</v>
      </c>
      <c r="H800">
        <v>0</v>
      </c>
      <c r="I800">
        <v>1</v>
      </c>
      <c r="J800">
        <v>0</v>
      </c>
      <c r="K800">
        <v>0</v>
      </c>
      <c r="L800">
        <v>0</v>
      </c>
    </row>
    <row r="801" spans="1:12" x14ac:dyDescent="0.35">
      <c r="A801" t="s">
        <v>419</v>
      </c>
      <c r="B801" s="7">
        <v>43743.551562499997</v>
      </c>
      <c r="C801" t="s">
        <v>24</v>
      </c>
      <c r="D801" t="s">
        <v>34</v>
      </c>
      <c r="E801">
        <v>1</v>
      </c>
      <c r="F801" t="s">
        <v>249</v>
      </c>
      <c r="G801" t="s">
        <v>231</v>
      </c>
      <c r="H801">
        <v>1</v>
      </c>
      <c r="I801">
        <v>0</v>
      </c>
      <c r="J801">
        <v>0</v>
      </c>
      <c r="K801">
        <v>0</v>
      </c>
      <c r="L801">
        <v>0</v>
      </c>
    </row>
    <row r="802" spans="1:12" x14ac:dyDescent="0.35">
      <c r="A802" t="s">
        <v>419</v>
      </c>
      <c r="B802" s="7">
        <v>43743.551562499997</v>
      </c>
      <c r="C802" t="s">
        <v>24</v>
      </c>
      <c r="D802" t="s">
        <v>238</v>
      </c>
      <c r="E802">
        <v>1</v>
      </c>
      <c r="F802" t="s">
        <v>236</v>
      </c>
      <c r="G802" t="s">
        <v>237</v>
      </c>
      <c r="H802">
        <v>1</v>
      </c>
      <c r="I802">
        <v>0</v>
      </c>
      <c r="J802">
        <v>0</v>
      </c>
      <c r="K802">
        <v>0</v>
      </c>
      <c r="L802">
        <v>0</v>
      </c>
    </row>
    <row r="803" spans="1:12" x14ac:dyDescent="0.35">
      <c r="A803" t="s">
        <v>419</v>
      </c>
      <c r="B803" s="7">
        <v>43743.551562499997</v>
      </c>
      <c r="C803" t="s">
        <v>24</v>
      </c>
      <c r="D803" t="s">
        <v>235</v>
      </c>
      <c r="E803">
        <v>1</v>
      </c>
      <c r="F803" t="s">
        <v>239</v>
      </c>
      <c r="G803" t="s">
        <v>237</v>
      </c>
      <c r="H803">
        <v>1</v>
      </c>
      <c r="I803">
        <v>0</v>
      </c>
      <c r="J803">
        <v>0</v>
      </c>
      <c r="K803">
        <v>0</v>
      </c>
      <c r="L803">
        <v>0</v>
      </c>
    </row>
    <row r="804" spans="1:12" x14ac:dyDescent="0.35">
      <c r="A804" t="s">
        <v>418</v>
      </c>
      <c r="B804" s="7">
        <v>43743.551562499997</v>
      </c>
      <c r="C804" t="s">
        <v>228</v>
      </c>
      <c r="D804" t="s">
        <v>31</v>
      </c>
      <c r="E804">
        <v>1</v>
      </c>
      <c r="F804" t="s">
        <v>239</v>
      </c>
      <c r="G804" t="s">
        <v>237</v>
      </c>
      <c r="H804">
        <v>0</v>
      </c>
      <c r="I804">
        <v>1</v>
      </c>
      <c r="J804">
        <v>0</v>
      </c>
      <c r="K804">
        <v>0</v>
      </c>
      <c r="L804">
        <v>0</v>
      </c>
    </row>
    <row r="805" spans="1:12" x14ac:dyDescent="0.35">
      <c r="A805" t="s">
        <v>418</v>
      </c>
      <c r="B805" s="7">
        <v>43743.551562499997</v>
      </c>
      <c r="C805" t="s">
        <v>228</v>
      </c>
      <c r="D805" t="s">
        <v>233</v>
      </c>
      <c r="E805">
        <v>1</v>
      </c>
      <c r="F805" t="s">
        <v>239</v>
      </c>
      <c r="G805" t="s">
        <v>237</v>
      </c>
      <c r="H805">
        <v>0</v>
      </c>
      <c r="I805">
        <v>1</v>
      </c>
      <c r="J805">
        <v>0</v>
      </c>
      <c r="K805">
        <v>0</v>
      </c>
      <c r="L805">
        <v>0</v>
      </c>
    </row>
    <row r="806" spans="1:12" x14ac:dyDescent="0.35">
      <c r="A806" t="s">
        <v>419</v>
      </c>
      <c r="B806" s="7">
        <v>43743.551562499997</v>
      </c>
      <c r="C806" t="s">
        <v>24</v>
      </c>
      <c r="D806" t="s">
        <v>229</v>
      </c>
      <c r="E806">
        <v>1</v>
      </c>
      <c r="F806" t="s">
        <v>239</v>
      </c>
      <c r="G806" t="s">
        <v>237</v>
      </c>
      <c r="H806">
        <v>1</v>
      </c>
      <c r="I806">
        <v>0</v>
      </c>
      <c r="J806">
        <v>0</v>
      </c>
      <c r="K806">
        <v>0</v>
      </c>
      <c r="L806">
        <v>0</v>
      </c>
    </row>
    <row r="807" spans="1:12" x14ac:dyDescent="0.35">
      <c r="A807" t="s">
        <v>420</v>
      </c>
      <c r="B807" s="7">
        <v>43743.551562499997</v>
      </c>
      <c r="C807" t="s">
        <v>85</v>
      </c>
      <c r="D807" t="s">
        <v>235</v>
      </c>
      <c r="E807">
        <v>1</v>
      </c>
      <c r="F807" t="s">
        <v>240</v>
      </c>
      <c r="G807" t="s">
        <v>237</v>
      </c>
      <c r="H807">
        <v>0</v>
      </c>
      <c r="I807">
        <v>0</v>
      </c>
      <c r="J807">
        <v>0</v>
      </c>
      <c r="K807">
        <v>1</v>
      </c>
      <c r="L807">
        <v>0</v>
      </c>
    </row>
    <row r="808" spans="1:12" x14ac:dyDescent="0.35">
      <c r="A808" t="s">
        <v>420</v>
      </c>
      <c r="B808" s="7">
        <v>43743.551562499997</v>
      </c>
      <c r="C808" t="s">
        <v>85</v>
      </c>
      <c r="D808" t="s">
        <v>34</v>
      </c>
      <c r="E808">
        <v>1</v>
      </c>
      <c r="F808" t="s">
        <v>240</v>
      </c>
      <c r="G808" t="s">
        <v>237</v>
      </c>
      <c r="H808">
        <v>0</v>
      </c>
      <c r="I808">
        <v>0</v>
      </c>
      <c r="J808">
        <v>0</v>
      </c>
      <c r="K808">
        <v>1</v>
      </c>
      <c r="L808">
        <v>0</v>
      </c>
    </row>
    <row r="809" spans="1:12" x14ac:dyDescent="0.35">
      <c r="A809" t="s">
        <v>419</v>
      </c>
      <c r="B809" s="7">
        <v>43743.551562499997</v>
      </c>
      <c r="C809" t="s">
        <v>24</v>
      </c>
      <c r="D809" t="s">
        <v>238</v>
      </c>
      <c r="E809">
        <v>1</v>
      </c>
      <c r="F809" t="s">
        <v>240</v>
      </c>
      <c r="G809" t="s">
        <v>237</v>
      </c>
      <c r="H809">
        <v>1</v>
      </c>
      <c r="I809">
        <v>0</v>
      </c>
      <c r="J809">
        <v>0</v>
      </c>
      <c r="K809">
        <v>0</v>
      </c>
      <c r="L809">
        <v>0</v>
      </c>
    </row>
    <row r="810" spans="1:12" x14ac:dyDescent="0.35">
      <c r="A810" t="s">
        <v>419</v>
      </c>
      <c r="B810" s="7">
        <v>43743.551562499997</v>
      </c>
      <c r="C810" t="s">
        <v>24</v>
      </c>
      <c r="D810" t="s">
        <v>31</v>
      </c>
      <c r="E810">
        <v>1</v>
      </c>
      <c r="F810" t="s">
        <v>242</v>
      </c>
      <c r="G810" t="s">
        <v>231</v>
      </c>
      <c r="H810">
        <v>1</v>
      </c>
      <c r="I810">
        <v>0</v>
      </c>
      <c r="J810">
        <v>0</v>
      </c>
      <c r="K810">
        <v>0</v>
      </c>
      <c r="L810">
        <v>0</v>
      </c>
    </row>
    <row r="811" spans="1:12" x14ac:dyDescent="0.35">
      <c r="A811" t="s">
        <v>421</v>
      </c>
      <c r="B811" s="7">
        <v>43744.551562499997</v>
      </c>
      <c r="C811" t="s">
        <v>85</v>
      </c>
      <c r="D811" t="s">
        <v>238</v>
      </c>
      <c r="E811">
        <v>1</v>
      </c>
      <c r="F811" t="s">
        <v>249</v>
      </c>
      <c r="G811" t="s">
        <v>231</v>
      </c>
      <c r="H811">
        <v>0</v>
      </c>
      <c r="I811">
        <v>0</v>
      </c>
      <c r="J811">
        <v>0</v>
      </c>
      <c r="K811">
        <v>1</v>
      </c>
      <c r="L811">
        <v>0</v>
      </c>
    </row>
    <row r="812" spans="1:12" x14ac:dyDescent="0.35">
      <c r="A812" t="s">
        <v>422</v>
      </c>
      <c r="B812" s="7">
        <v>43744.551562499997</v>
      </c>
      <c r="C812" t="s">
        <v>24</v>
      </c>
      <c r="D812" t="s">
        <v>238</v>
      </c>
      <c r="E812">
        <v>1</v>
      </c>
      <c r="F812" t="s">
        <v>249</v>
      </c>
      <c r="G812" t="s">
        <v>231</v>
      </c>
      <c r="H812">
        <v>1</v>
      </c>
      <c r="I812">
        <v>0</v>
      </c>
      <c r="J812">
        <v>0</v>
      </c>
      <c r="K812">
        <v>0</v>
      </c>
      <c r="L812">
        <v>0</v>
      </c>
    </row>
    <row r="813" spans="1:12" x14ac:dyDescent="0.35">
      <c r="A813" t="s">
        <v>423</v>
      </c>
      <c r="B813" s="7">
        <v>43744.551562499997</v>
      </c>
      <c r="C813" t="s">
        <v>228</v>
      </c>
      <c r="D813" t="s">
        <v>238</v>
      </c>
      <c r="E813">
        <v>1</v>
      </c>
      <c r="F813" t="s">
        <v>249</v>
      </c>
      <c r="G813" t="s">
        <v>231</v>
      </c>
      <c r="H813">
        <v>0</v>
      </c>
      <c r="I813">
        <v>1</v>
      </c>
      <c r="J813">
        <v>0</v>
      </c>
      <c r="K813">
        <v>0</v>
      </c>
      <c r="L813">
        <v>0</v>
      </c>
    </row>
    <row r="814" spans="1:12" x14ac:dyDescent="0.35">
      <c r="A814" t="s">
        <v>422</v>
      </c>
      <c r="B814" s="7">
        <v>43744.551562499997</v>
      </c>
      <c r="C814" t="s">
        <v>24</v>
      </c>
      <c r="D814" t="s">
        <v>235</v>
      </c>
      <c r="E814">
        <v>1</v>
      </c>
      <c r="F814" t="s">
        <v>239</v>
      </c>
      <c r="G814" t="s">
        <v>237</v>
      </c>
      <c r="H814">
        <v>1</v>
      </c>
      <c r="I814">
        <v>0</v>
      </c>
      <c r="J814">
        <v>0</v>
      </c>
      <c r="K814">
        <v>0</v>
      </c>
      <c r="L814">
        <v>0</v>
      </c>
    </row>
    <row r="815" spans="1:12" x14ac:dyDescent="0.35">
      <c r="A815" t="s">
        <v>424</v>
      </c>
      <c r="B815" s="7">
        <v>43745.551562499997</v>
      </c>
      <c r="C815" t="s">
        <v>24</v>
      </c>
      <c r="D815" t="s">
        <v>238</v>
      </c>
      <c r="E815">
        <v>1</v>
      </c>
      <c r="F815" t="s">
        <v>230</v>
      </c>
      <c r="G815" t="s">
        <v>231</v>
      </c>
      <c r="H815">
        <v>1</v>
      </c>
      <c r="I815">
        <v>0</v>
      </c>
      <c r="J815">
        <v>0</v>
      </c>
      <c r="K815">
        <v>0</v>
      </c>
      <c r="L815">
        <v>0</v>
      </c>
    </row>
    <row r="816" spans="1:12" x14ac:dyDescent="0.35">
      <c r="A816" t="s">
        <v>425</v>
      </c>
      <c r="B816" s="7">
        <v>43745.551562499997</v>
      </c>
      <c r="C816" t="s">
        <v>108</v>
      </c>
      <c r="D816" t="s">
        <v>229</v>
      </c>
      <c r="E816">
        <v>1</v>
      </c>
      <c r="F816" t="s">
        <v>230</v>
      </c>
      <c r="G816" t="s">
        <v>231</v>
      </c>
      <c r="H816">
        <v>0</v>
      </c>
      <c r="I816">
        <v>0</v>
      </c>
      <c r="J816">
        <v>1</v>
      </c>
      <c r="K816">
        <v>0</v>
      </c>
      <c r="L816">
        <v>0</v>
      </c>
    </row>
    <row r="817" spans="1:12" x14ac:dyDescent="0.35">
      <c r="A817" t="s">
        <v>424</v>
      </c>
      <c r="B817" s="7">
        <v>43745.551562499997</v>
      </c>
      <c r="C817" t="s">
        <v>24</v>
      </c>
      <c r="D817" t="s">
        <v>229</v>
      </c>
      <c r="E817">
        <v>1</v>
      </c>
      <c r="F817" t="s">
        <v>249</v>
      </c>
      <c r="G817" t="s">
        <v>231</v>
      </c>
      <c r="H817">
        <v>1</v>
      </c>
      <c r="I817">
        <v>0</v>
      </c>
      <c r="J817">
        <v>0</v>
      </c>
      <c r="K817">
        <v>0</v>
      </c>
      <c r="L817">
        <v>0</v>
      </c>
    </row>
    <row r="818" spans="1:12" x14ac:dyDescent="0.35">
      <c r="A818" t="s">
        <v>424</v>
      </c>
      <c r="B818" s="7">
        <v>43745.551562499997</v>
      </c>
      <c r="C818" t="s">
        <v>24</v>
      </c>
      <c r="D818" t="s">
        <v>235</v>
      </c>
      <c r="E818">
        <v>1</v>
      </c>
      <c r="F818" t="s">
        <v>236</v>
      </c>
      <c r="G818" t="s">
        <v>237</v>
      </c>
      <c r="H818">
        <v>1</v>
      </c>
      <c r="I818">
        <v>0</v>
      </c>
      <c r="J818">
        <v>0</v>
      </c>
      <c r="K818">
        <v>0</v>
      </c>
      <c r="L818">
        <v>0</v>
      </c>
    </row>
    <row r="819" spans="1:12" x14ac:dyDescent="0.35">
      <c r="A819" t="s">
        <v>425</v>
      </c>
      <c r="B819" s="7">
        <v>43745.551562499997</v>
      </c>
      <c r="C819" t="s">
        <v>108</v>
      </c>
      <c r="D819" t="s">
        <v>34</v>
      </c>
      <c r="E819">
        <v>1</v>
      </c>
      <c r="F819" t="s">
        <v>239</v>
      </c>
      <c r="G819" t="s">
        <v>237</v>
      </c>
      <c r="H819">
        <v>0</v>
      </c>
      <c r="I819">
        <v>0</v>
      </c>
      <c r="J819">
        <v>1</v>
      </c>
      <c r="K819">
        <v>0</v>
      </c>
      <c r="L819">
        <v>0</v>
      </c>
    </row>
    <row r="820" spans="1:12" x14ac:dyDescent="0.35">
      <c r="A820" t="s">
        <v>424</v>
      </c>
      <c r="B820" s="7">
        <v>43745.551562499997</v>
      </c>
      <c r="C820" t="s">
        <v>24</v>
      </c>
      <c r="D820" t="s">
        <v>235</v>
      </c>
      <c r="E820">
        <v>1</v>
      </c>
      <c r="F820" t="s">
        <v>239</v>
      </c>
      <c r="G820" t="s">
        <v>237</v>
      </c>
      <c r="H820">
        <v>1</v>
      </c>
      <c r="I820">
        <v>0</v>
      </c>
      <c r="J820">
        <v>0</v>
      </c>
      <c r="K820">
        <v>0</v>
      </c>
      <c r="L820">
        <v>0</v>
      </c>
    </row>
    <row r="821" spans="1:12" x14ac:dyDescent="0.35">
      <c r="A821" t="s">
        <v>424</v>
      </c>
      <c r="B821" s="7">
        <v>43745.551562499997</v>
      </c>
      <c r="C821" t="s">
        <v>24</v>
      </c>
      <c r="D821" t="s">
        <v>238</v>
      </c>
      <c r="E821">
        <v>1</v>
      </c>
      <c r="F821" t="s">
        <v>239</v>
      </c>
      <c r="G821" t="s">
        <v>237</v>
      </c>
      <c r="H821">
        <v>1</v>
      </c>
      <c r="I821">
        <v>0</v>
      </c>
      <c r="J821">
        <v>0</v>
      </c>
      <c r="K821">
        <v>0</v>
      </c>
      <c r="L821">
        <v>0</v>
      </c>
    </row>
    <row r="822" spans="1:12" x14ac:dyDescent="0.35">
      <c r="A822" t="s">
        <v>424</v>
      </c>
      <c r="B822" s="7">
        <v>43745.551562499997</v>
      </c>
      <c r="C822" t="s">
        <v>24</v>
      </c>
      <c r="D822" t="s">
        <v>31</v>
      </c>
      <c r="E822">
        <v>1</v>
      </c>
      <c r="F822" t="s">
        <v>242</v>
      </c>
      <c r="G822" t="s">
        <v>231</v>
      </c>
      <c r="H822">
        <v>1</v>
      </c>
      <c r="I822">
        <v>0</v>
      </c>
      <c r="J822">
        <v>0</v>
      </c>
      <c r="K822">
        <v>0</v>
      </c>
      <c r="L822">
        <v>0</v>
      </c>
    </row>
    <row r="823" spans="1:12" x14ac:dyDescent="0.35">
      <c r="A823" t="s">
        <v>426</v>
      </c>
      <c r="B823" s="7">
        <v>43745.551562499997</v>
      </c>
      <c r="C823" t="s">
        <v>228</v>
      </c>
      <c r="D823" t="s">
        <v>233</v>
      </c>
      <c r="E823">
        <v>1</v>
      </c>
      <c r="F823" t="s">
        <v>242</v>
      </c>
      <c r="G823" t="s">
        <v>231</v>
      </c>
      <c r="H823">
        <v>0</v>
      </c>
      <c r="I823">
        <v>1</v>
      </c>
      <c r="J823">
        <v>0</v>
      </c>
      <c r="K823">
        <v>0</v>
      </c>
      <c r="L823">
        <v>0</v>
      </c>
    </row>
    <row r="824" spans="1:12" x14ac:dyDescent="0.35">
      <c r="A824" t="s">
        <v>426</v>
      </c>
      <c r="B824" s="7">
        <v>43745.551562499997</v>
      </c>
      <c r="C824" t="s">
        <v>228</v>
      </c>
      <c r="D824" t="s">
        <v>233</v>
      </c>
      <c r="E824">
        <v>1</v>
      </c>
      <c r="F824" t="s">
        <v>242</v>
      </c>
      <c r="G824" t="s">
        <v>231</v>
      </c>
      <c r="H824">
        <v>0</v>
      </c>
      <c r="I824">
        <v>1</v>
      </c>
      <c r="J824">
        <v>0</v>
      </c>
      <c r="K824">
        <v>0</v>
      </c>
      <c r="L824">
        <v>0</v>
      </c>
    </row>
    <row r="825" spans="1:12" x14ac:dyDescent="0.35">
      <c r="A825" t="s">
        <v>427</v>
      </c>
      <c r="B825" s="7">
        <v>43746.551562499997</v>
      </c>
      <c r="C825" t="s">
        <v>24</v>
      </c>
      <c r="D825" t="s">
        <v>235</v>
      </c>
      <c r="E825">
        <v>1</v>
      </c>
      <c r="F825" t="s">
        <v>249</v>
      </c>
      <c r="G825" t="s">
        <v>231</v>
      </c>
      <c r="H825">
        <v>1</v>
      </c>
      <c r="I825">
        <v>0</v>
      </c>
      <c r="J825">
        <v>0</v>
      </c>
      <c r="K825">
        <v>0</v>
      </c>
      <c r="L825">
        <v>0</v>
      </c>
    </row>
    <row r="826" spans="1:12" x14ac:dyDescent="0.35">
      <c r="A826" t="s">
        <v>428</v>
      </c>
      <c r="B826" s="7">
        <v>43746.551562499997</v>
      </c>
      <c r="C826" t="s">
        <v>85</v>
      </c>
      <c r="D826" t="s">
        <v>233</v>
      </c>
      <c r="E826">
        <v>1</v>
      </c>
      <c r="F826" t="s">
        <v>249</v>
      </c>
      <c r="G826" t="s">
        <v>231</v>
      </c>
      <c r="H826">
        <v>0</v>
      </c>
      <c r="I826">
        <v>0</v>
      </c>
      <c r="J826">
        <v>0</v>
      </c>
      <c r="K826">
        <v>1</v>
      </c>
      <c r="L826">
        <v>0</v>
      </c>
    </row>
    <row r="827" spans="1:12" x14ac:dyDescent="0.35">
      <c r="A827" t="s">
        <v>427</v>
      </c>
      <c r="B827" s="7">
        <v>43746.551562499997</v>
      </c>
      <c r="C827" t="s">
        <v>24</v>
      </c>
      <c r="D827" t="s">
        <v>31</v>
      </c>
      <c r="E827">
        <v>1</v>
      </c>
      <c r="F827" t="s">
        <v>249</v>
      </c>
      <c r="G827" t="s">
        <v>231</v>
      </c>
      <c r="H827">
        <v>1</v>
      </c>
      <c r="I827">
        <v>0</v>
      </c>
      <c r="J827">
        <v>0</v>
      </c>
      <c r="K827">
        <v>0</v>
      </c>
      <c r="L827">
        <v>0</v>
      </c>
    </row>
    <row r="828" spans="1:12" x14ac:dyDescent="0.35">
      <c r="A828" t="s">
        <v>427</v>
      </c>
      <c r="B828" s="7">
        <v>43746.551562499997</v>
      </c>
      <c r="C828" t="s">
        <v>24</v>
      </c>
      <c r="D828" t="s">
        <v>233</v>
      </c>
      <c r="E828">
        <v>1</v>
      </c>
      <c r="F828" t="s">
        <v>249</v>
      </c>
      <c r="G828" t="s">
        <v>231</v>
      </c>
      <c r="H828">
        <v>1</v>
      </c>
      <c r="I828">
        <v>0</v>
      </c>
      <c r="J828">
        <v>0</v>
      </c>
      <c r="K828">
        <v>0</v>
      </c>
      <c r="L828">
        <v>0</v>
      </c>
    </row>
    <row r="829" spans="1:12" x14ac:dyDescent="0.35">
      <c r="A829" t="s">
        <v>427</v>
      </c>
      <c r="B829" s="7">
        <v>43746.551562499997</v>
      </c>
      <c r="C829" t="s">
        <v>24</v>
      </c>
      <c r="D829" t="s">
        <v>233</v>
      </c>
      <c r="E829">
        <v>1</v>
      </c>
      <c r="F829" t="s">
        <v>236</v>
      </c>
      <c r="G829" t="s">
        <v>237</v>
      </c>
      <c r="H829">
        <v>1</v>
      </c>
      <c r="I829">
        <v>0</v>
      </c>
      <c r="J829">
        <v>0</v>
      </c>
      <c r="K829">
        <v>0</v>
      </c>
      <c r="L829">
        <v>0</v>
      </c>
    </row>
    <row r="830" spans="1:12" x14ac:dyDescent="0.35">
      <c r="A830" t="s">
        <v>427</v>
      </c>
      <c r="B830" s="7">
        <v>43746.551562499997</v>
      </c>
      <c r="C830" t="s">
        <v>24</v>
      </c>
      <c r="D830" t="s">
        <v>31</v>
      </c>
      <c r="E830">
        <v>1</v>
      </c>
      <c r="F830" t="s">
        <v>236</v>
      </c>
      <c r="G830" t="s">
        <v>237</v>
      </c>
      <c r="H830">
        <v>1</v>
      </c>
      <c r="I830">
        <v>0</v>
      </c>
      <c r="J830">
        <v>0</v>
      </c>
      <c r="K830">
        <v>0</v>
      </c>
      <c r="L830">
        <v>0</v>
      </c>
    </row>
    <row r="831" spans="1:12" x14ac:dyDescent="0.35">
      <c r="A831" t="s">
        <v>427</v>
      </c>
      <c r="B831" s="7">
        <v>43746.551562499997</v>
      </c>
      <c r="C831" t="s">
        <v>24</v>
      </c>
      <c r="D831" t="s">
        <v>238</v>
      </c>
      <c r="E831">
        <v>1</v>
      </c>
      <c r="F831" t="s">
        <v>239</v>
      </c>
      <c r="G831" t="s">
        <v>237</v>
      </c>
      <c r="H831">
        <v>1</v>
      </c>
      <c r="I831">
        <v>0</v>
      </c>
      <c r="J831">
        <v>0</v>
      </c>
      <c r="K831">
        <v>0</v>
      </c>
      <c r="L831">
        <v>0</v>
      </c>
    </row>
    <row r="832" spans="1:12" x14ac:dyDescent="0.35">
      <c r="A832" t="s">
        <v>427</v>
      </c>
      <c r="B832" s="7">
        <v>43746.551562499997</v>
      </c>
      <c r="C832" t="s">
        <v>24</v>
      </c>
      <c r="D832" t="s">
        <v>235</v>
      </c>
      <c r="E832">
        <v>1</v>
      </c>
      <c r="F832" t="s">
        <v>240</v>
      </c>
      <c r="G832" t="s">
        <v>237</v>
      </c>
      <c r="H832">
        <v>1</v>
      </c>
      <c r="I832">
        <v>0</v>
      </c>
      <c r="J832">
        <v>0</v>
      </c>
      <c r="K832">
        <v>0</v>
      </c>
      <c r="L832">
        <v>0</v>
      </c>
    </row>
    <row r="833" spans="1:12" x14ac:dyDescent="0.35">
      <c r="A833" t="s">
        <v>429</v>
      </c>
      <c r="B833" s="7">
        <v>43746.551562499997</v>
      </c>
      <c r="C833" t="s">
        <v>228</v>
      </c>
      <c r="D833" t="s">
        <v>34</v>
      </c>
      <c r="E833">
        <v>1</v>
      </c>
      <c r="F833" t="s">
        <v>240</v>
      </c>
      <c r="G833" t="s">
        <v>237</v>
      </c>
      <c r="H833">
        <v>0</v>
      </c>
      <c r="I833">
        <v>1</v>
      </c>
      <c r="J833">
        <v>0</v>
      </c>
      <c r="K833">
        <v>0</v>
      </c>
      <c r="L833">
        <v>0</v>
      </c>
    </row>
    <row r="834" spans="1:12" x14ac:dyDescent="0.35">
      <c r="A834" t="s">
        <v>428</v>
      </c>
      <c r="B834" s="7">
        <v>43746.551562499997</v>
      </c>
      <c r="C834" t="s">
        <v>85</v>
      </c>
      <c r="D834" t="s">
        <v>238</v>
      </c>
      <c r="E834">
        <v>1</v>
      </c>
      <c r="F834" t="s">
        <v>240</v>
      </c>
      <c r="G834" t="s">
        <v>237</v>
      </c>
      <c r="H834">
        <v>0</v>
      </c>
      <c r="I834">
        <v>0</v>
      </c>
      <c r="J834">
        <v>0</v>
      </c>
      <c r="K834">
        <v>1</v>
      </c>
      <c r="L834">
        <v>0</v>
      </c>
    </row>
    <row r="835" spans="1:12" x14ac:dyDescent="0.35">
      <c r="A835" t="s">
        <v>427</v>
      </c>
      <c r="B835" s="7">
        <v>43746.551562499997</v>
      </c>
      <c r="C835" t="s">
        <v>24</v>
      </c>
      <c r="D835" t="s">
        <v>235</v>
      </c>
      <c r="E835">
        <v>1</v>
      </c>
      <c r="F835" t="s">
        <v>242</v>
      </c>
      <c r="G835" t="s">
        <v>231</v>
      </c>
      <c r="H835">
        <v>1</v>
      </c>
      <c r="I835">
        <v>0</v>
      </c>
      <c r="J835">
        <v>0</v>
      </c>
      <c r="K835">
        <v>0</v>
      </c>
      <c r="L835">
        <v>0</v>
      </c>
    </row>
    <row r="836" spans="1:12" x14ac:dyDescent="0.35">
      <c r="A836" t="s">
        <v>427</v>
      </c>
      <c r="B836" s="7">
        <v>43746.551562499997</v>
      </c>
      <c r="C836" t="s">
        <v>24</v>
      </c>
      <c r="D836" t="s">
        <v>31</v>
      </c>
      <c r="E836">
        <v>1</v>
      </c>
      <c r="F836" t="s">
        <v>242</v>
      </c>
      <c r="G836" t="s">
        <v>231</v>
      </c>
      <c r="H836">
        <v>1</v>
      </c>
      <c r="I836">
        <v>0</v>
      </c>
      <c r="J836">
        <v>0</v>
      </c>
      <c r="K836">
        <v>0</v>
      </c>
      <c r="L836">
        <v>0</v>
      </c>
    </row>
    <row r="837" spans="1:12" x14ac:dyDescent="0.35">
      <c r="A837" t="s">
        <v>430</v>
      </c>
      <c r="B837" s="7">
        <v>43747.551562499997</v>
      </c>
      <c r="C837" t="s">
        <v>228</v>
      </c>
      <c r="D837" t="s">
        <v>235</v>
      </c>
      <c r="E837">
        <v>1</v>
      </c>
      <c r="F837" t="s">
        <v>230</v>
      </c>
      <c r="G837" t="s">
        <v>231</v>
      </c>
      <c r="H837">
        <v>0</v>
      </c>
      <c r="I837">
        <v>1</v>
      </c>
      <c r="J837">
        <v>0</v>
      </c>
      <c r="K837">
        <v>0</v>
      </c>
      <c r="L837">
        <v>0</v>
      </c>
    </row>
    <row r="838" spans="1:12" x14ac:dyDescent="0.35">
      <c r="A838" t="s">
        <v>431</v>
      </c>
      <c r="B838" s="7">
        <v>43747.551562499997</v>
      </c>
      <c r="C838" t="s">
        <v>24</v>
      </c>
      <c r="D838" t="s">
        <v>229</v>
      </c>
      <c r="E838">
        <v>1</v>
      </c>
      <c r="F838" t="s">
        <v>230</v>
      </c>
      <c r="G838" t="s">
        <v>231</v>
      </c>
      <c r="H838">
        <v>1</v>
      </c>
      <c r="I838">
        <v>0</v>
      </c>
      <c r="J838">
        <v>0</v>
      </c>
      <c r="K838">
        <v>0</v>
      </c>
      <c r="L838">
        <v>0</v>
      </c>
    </row>
    <row r="839" spans="1:12" x14ac:dyDescent="0.35">
      <c r="A839" t="s">
        <v>431</v>
      </c>
      <c r="B839" s="7">
        <v>43747.551562499997</v>
      </c>
      <c r="C839" t="s">
        <v>24</v>
      </c>
      <c r="D839" t="s">
        <v>229</v>
      </c>
      <c r="E839">
        <v>1</v>
      </c>
      <c r="F839" t="s">
        <v>249</v>
      </c>
      <c r="G839" t="s">
        <v>231</v>
      </c>
      <c r="H839">
        <v>1</v>
      </c>
      <c r="I839">
        <v>0</v>
      </c>
      <c r="J839">
        <v>0</v>
      </c>
      <c r="K839">
        <v>0</v>
      </c>
      <c r="L839">
        <v>0</v>
      </c>
    </row>
    <row r="840" spans="1:12" x14ac:dyDescent="0.35">
      <c r="A840" t="s">
        <v>430</v>
      </c>
      <c r="B840" s="7">
        <v>43747.551562499997</v>
      </c>
      <c r="C840" t="s">
        <v>228</v>
      </c>
      <c r="D840" t="s">
        <v>233</v>
      </c>
      <c r="E840">
        <v>1</v>
      </c>
      <c r="F840" t="s">
        <v>249</v>
      </c>
      <c r="G840" t="s">
        <v>231</v>
      </c>
      <c r="H840">
        <v>0</v>
      </c>
      <c r="I840">
        <v>1</v>
      </c>
      <c r="J840">
        <v>0</v>
      </c>
      <c r="K840">
        <v>0</v>
      </c>
      <c r="L840">
        <v>0</v>
      </c>
    </row>
    <row r="841" spans="1:12" x14ac:dyDescent="0.35">
      <c r="A841" t="s">
        <v>432</v>
      </c>
      <c r="B841" s="7">
        <v>43747.551562499997</v>
      </c>
      <c r="C841" t="s">
        <v>108</v>
      </c>
      <c r="D841" t="s">
        <v>235</v>
      </c>
      <c r="E841">
        <v>1</v>
      </c>
      <c r="F841" t="s">
        <v>249</v>
      </c>
      <c r="G841" t="s">
        <v>231</v>
      </c>
      <c r="H841">
        <v>0</v>
      </c>
      <c r="I841">
        <v>0</v>
      </c>
      <c r="J841">
        <v>1</v>
      </c>
      <c r="K841">
        <v>0</v>
      </c>
      <c r="L841">
        <v>0</v>
      </c>
    </row>
    <row r="842" spans="1:12" x14ac:dyDescent="0.35">
      <c r="A842" t="s">
        <v>431</v>
      </c>
      <c r="B842" s="7">
        <v>43747.551562499997</v>
      </c>
      <c r="C842" t="s">
        <v>24</v>
      </c>
      <c r="D842" t="s">
        <v>233</v>
      </c>
      <c r="E842">
        <v>1</v>
      </c>
      <c r="F842" t="s">
        <v>249</v>
      </c>
      <c r="G842" t="s">
        <v>231</v>
      </c>
      <c r="H842">
        <v>1</v>
      </c>
      <c r="I842">
        <v>0</v>
      </c>
      <c r="J842">
        <v>0</v>
      </c>
      <c r="K842">
        <v>0</v>
      </c>
      <c r="L842">
        <v>0</v>
      </c>
    </row>
    <row r="843" spans="1:12" x14ac:dyDescent="0.35">
      <c r="A843" t="s">
        <v>431</v>
      </c>
      <c r="B843" s="7">
        <v>43747.551562499997</v>
      </c>
      <c r="C843" t="s">
        <v>24</v>
      </c>
      <c r="D843" t="s">
        <v>34</v>
      </c>
      <c r="E843">
        <v>1</v>
      </c>
      <c r="F843" t="s">
        <v>249</v>
      </c>
      <c r="G843" t="s">
        <v>231</v>
      </c>
      <c r="H843">
        <v>1</v>
      </c>
      <c r="I843">
        <v>0</v>
      </c>
      <c r="J843">
        <v>0</v>
      </c>
      <c r="K843">
        <v>0</v>
      </c>
      <c r="L843">
        <v>0</v>
      </c>
    </row>
    <row r="844" spans="1:12" x14ac:dyDescent="0.35">
      <c r="A844" t="s">
        <v>431</v>
      </c>
      <c r="B844" s="7">
        <v>43747.551562499997</v>
      </c>
      <c r="C844" t="s">
        <v>24</v>
      </c>
      <c r="D844" t="s">
        <v>34</v>
      </c>
      <c r="E844">
        <v>1</v>
      </c>
      <c r="F844" t="s">
        <v>249</v>
      </c>
      <c r="G844" t="s">
        <v>231</v>
      </c>
      <c r="H844">
        <v>1</v>
      </c>
      <c r="I844">
        <v>0</v>
      </c>
      <c r="J844">
        <v>0</v>
      </c>
      <c r="K844">
        <v>0</v>
      </c>
      <c r="L844">
        <v>0</v>
      </c>
    </row>
    <row r="845" spans="1:12" x14ac:dyDescent="0.35">
      <c r="A845" t="s">
        <v>431</v>
      </c>
      <c r="B845" s="7">
        <v>43747.551562499997</v>
      </c>
      <c r="C845" t="s">
        <v>24</v>
      </c>
      <c r="D845" t="s">
        <v>238</v>
      </c>
      <c r="E845">
        <v>1</v>
      </c>
      <c r="F845" t="s">
        <v>236</v>
      </c>
      <c r="G845" t="s">
        <v>237</v>
      </c>
      <c r="H845">
        <v>1</v>
      </c>
      <c r="I845">
        <v>0</v>
      </c>
      <c r="J845">
        <v>0</v>
      </c>
      <c r="K845">
        <v>0</v>
      </c>
      <c r="L845">
        <v>0</v>
      </c>
    </row>
    <row r="846" spans="1:12" x14ac:dyDescent="0.35">
      <c r="A846" t="s">
        <v>431</v>
      </c>
      <c r="B846" s="7">
        <v>43747.551562499997</v>
      </c>
      <c r="C846" t="s">
        <v>24</v>
      </c>
      <c r="D846" t="s">
        <v>235</v>
      </c>
      <c r="E846">
        <v>1</v>
      </c>
      <c r="F846" t="s">
        <v>239</v>
      </c>
      <c r="G846" t="s">
        <v>237</v>
      </c>
      <c r="H846">
        <v>1</v>
      </c>
      <c r="I846">
        <v>0</v>
      </c>
      <c r="J846">
        <v>0</v>
      </c>
      <c r="K846">
        <v>0</v>
      </c>
      <c r="L846">
        <v>0</v>
      </c>
    </row>
    <row r="847" spans="1:12" x14ac:dyDescent="0.35">
      <c r="A847" t="s">
        <v>430</v>
      </c>
      <c r="B847" s="7">
        <v>43747.551562499997</v>
      </c>
      <c r="C847" t="s">
        <v>228</v>
      </c>
      <c r="D847" t="s">
        <v>235</v>
      </c>
      <c r="E847">
        <v>1</v>
      </c>
      <c r="F847" t="s">
        <v>239</v>
      </c>
      <c r="G847" t="s">
        <v>237</v>
      </c>
      <c r="H847">
        <v>0</v>
      </c>
      <c r="I847">
        <v>1</v>
      </c>
      <c r="J847">
        <v>0</v>
      </c>
      <c r="K847">
        <v>0</v>
      </c>
      <c r="L847">
        <v>0</v>
      </c>
    </row>
    <row r="848" spans="1:12" x14ac:dyDescent="0.35">
      <c r="A848" t="s">
        <v>431</v>
      </c>
      <c r="B848" s="7">
        <v>43747.551562499997</v>
      </c>
      <c r="C848" t="s">
        <v>24</v>
      </c>
      <c r="D848" t="s">
        <v>34</v>
      </c>
      <c r="E848">
        <v>1</v>
      </c>
      <c r="F848" t="s">
        <v>240</v>
      </c>
      <c r="G848" t="s">
        <v>237</v>
      </c>
      <c r="H848">
        <v>1</v>
      </c>
      <c r="I848">
        <v>0</v>
      </c>
      <c r="J848">
        <v>0</v>
      </c>
      <c r="K848">
        <v>0</v>
      </c>
      <c r="L848">
        <v>0</v>
      </c>
    </row>
    <row r="849" spans="1:12" x14ac:dyDescent="0.35">
      <c r="A849" t="s">
        <v>433</v>
      </c>
      <c r="B849" s="7">
        <v>43748.551562499997</v>
      </c>
      <c r="C849" t="s">
        <v>228</v>
      </c>
      <c r="D849" t="s">
        <v>235</v>
      </c>
      <c r="E849">
        <v>1</v>
      </c>
      <c r="F849" t="s">
        <v>249</v>
      </c>
      <c r="G849" t="s">
        <v>231</v>
      </c>
      <c r="H849">
        <v>0</v>
      </c>
      <c r="I849">
        <v>1</v>
      </c>
      <c r="J849">
        <v>0</v>
      </c>
      <c r="K849">
        <v>0</v>
      </c>
      <c r="L849">
        <v>0</v>
      </c>
    </row>
    <row r="850" spans="1:12" x14ac:dyDescent="0.35">
      <c r="A850" t="s">
        <v>434</v>
      </c>
      <c r="B850" s="7">
        <v>43748.551562499997</v>
      </c>
      <c r="C850" t="s">
        <v>24</v>
      </c>
      <c r="D850" t="s">
        <v>238</v>
      </c>
      <c r="E850">
        <v>1</v>
      </c>
      <c r="F850" t="s">
        <v>249</v>
      </c>
      <c r="G850" t="s">
        <v>231</v>
      </c>
      <c r="H850">
        <v>1</v>
      </c>
      <c r="I850">
        <v>0</v>
      </c>
      <c r="J850">
        <v>0</v>
      </c>
      <c r="K850">
        <v>0</v>
      </c>
      <c r="L850">
        <v>0</v>
      </c>
    </row>
    <row r="851" spans="1:12" x14ac:dyDescent="0.35">
      <c r="A851" t="s">
        <v>434</v>
      </c>
      <c r="B851" s="7">
        <v>43748.551562499997</v>
      </c>
      <c r="C851" t="s">
        <v>24</v>
      </c>
      <c r="D851" t="s">
        <v>34</v>
      </c>
      <c r="E851">
        <v>1</v>
      </c>
      <c r="F851" t="s">
        <v>249</v>
      </c>
      <c r="G851" t="s">
        <v>231</v>
      </c>
      <c r="H851">
        <v>1</v>
      </c>
      <c r="I851">
        <v>0</v>
      </c>
      <c r="J851">
        <v>0</v>
      </c>
      <c r="K851">
        <v>0</v>
      </c>
      <c r="L851">
        <v>0</v>
      </c>
    </row>
    <row r="852" spans="1:12" x14ac:dyDescent="0.35">
      <c r="A852" t="s">
        <v>434</v>
      </c>
      <c r="B852" s="7">
        <v>43748.551562499997</v>
      </c>
      <c r="C852" t="s">
        <v>24</v>
      </c>
      <c r="D852" t="s">
        <v>233</v>
      </c>
      <c r="E852">
        <v>1</v>
      </c>
      <c r="F852" t="s">
        <v>249</v>
      </c>
      <c r="G852" t="s">
        <v>231</v>
      </c>
      <c r="H852">
        <v>1</v>
      </c>
      <c r="I852">
        <v>0</v>
      </c>
      <c r="J852">
        <v>0</v>
      </c>
      <c r="K852">
        <v>0</v>
      </c>
      <c r="L852">
        <v>0</v>
      </c>
    </row>
    <row r="853" spans="1:12" x14ac:dyDescent="0.35">
      <c r="A853" t="s">
        <v>434</v>
      </c>
      <c r="B853" s="7">
        <v>43748.551562499997</v>
      </c>
      <c r="C853" t="s">
        <v>24</v>
      </c>
      <c r="D853" t="s">
        <v>31</v>
      </c>
      <c r="E853">
        <v>1</v>
      </c>
      <c r="F853" t="s">
        <v>236</v>
      </c>
      <c r="G853" t="s">
        <v>237</v>
      </c>
      <c r="H853">
        <v>1</v>
      </c>
      <c r="I853">
        <v>0</v>
      </c>
      <c r="J853">
        <v>0</v>
      </c>
      <c r="K853">
        <v>0</v>
      </c>
      <c r="L853">
        <v>0</v>
      </c>
    </row>
    <row r="854" spans="1:12" x14ac:dyDescent="0.35">
      <c r="A854" t="s">
        <v>434</v>
      </c>
      <c r="B854" s="7">
        <v>43748.551562499997</v>
      </c>
      <c r="C854" t="s">
        <v>24</v>
      </c>
      <c r="D854" t="s">
        <v>235</v>
      </c>
      <c r="E854">
        <v>1</v>
      </c>
      <c r="F854" t="s">
        <v>236</v>
      </c>
      <c r="G854" t="s">
        <v>237</v>
      </c>
      <c r="H854">
        <v>1</v>
      </c>
      <c r="I854">
        <v>0</v>
      </c>
      <c r="J854">
        <v>0</v>
      </c>
      <c r="K854">
        <v>0</v>
      </c>
      <c r="L854">
        <v>0</v>
      </c>
    </row>
    <row r="855" spans="1:12" x14ac:dyDescent="0.35">
      <c r="A855" t="s">
        <v>434</v>
      </c>
      <c r="B855" s="7">
        <v>43748.551562499997</v>
      </c>
      <c r="C855" t="s">
        <v>24</v>
      </c>
      <c r="D855" t="s">
        <v>233</v>
      </c>
      <c r="E855">
        <v>1</v>
      </c>
      <c r="F855" t="s">
        <v>236</v>
      </c>
      <c r="G855" t="s">
        <v>237</v>
      </c>
      <c r="H855">
        <v>1</v>
      </c>
      <c r="I855">
        <v>0</v>
      </c>
      <c r="J855">
        <v>0</v>
      </c>
      <c r="K855">
        <v>0</v>
      </c>
      <c r="L855">
        <v>0</v>
      </c>
    </row>
    <row r="856" spans="1:12" x14ac:dyDescent="0.35">
      <c r="A856" t="s">
        <v>434</v>
      </c>
      <c r="B856" s="7">
        <v>43748.551562499997</v>
      </c>
      <c r="C856" t="s">
        <v>24</v>
      </c>
      <c r="D856" t="s">
        <v>235</v>
      </c>
      <c r="E856">
        <v>1</v>
      </c>
      <c r="F856" t="s">
        <v>239</v>
      </c>
      <c r="G856" t="s">
        <v>237</v>
      </c>
      <c r="H856">
        <v>1</v>
      </c>
      <c r="I856">
        <v>0</v>
      </c>
      <c r="J856">
        <v>0</v>
      </c>
      <c r="K856">
        <v>0</v>
      </c>
      <c r="L856">
        <v>0</v>
      </c>
    </row>
    <row r="857" spans="1:12" x14ac:dyDescent="0.35">
      <c r="A857" t="s">
        <v>434</v>
      </c>
      <c r="B857" s="7">
        <v>43748.551562499997</v>
      </c>
      <c r="C857" t="s">
        <v>24</v>
      </c>
      <c r="D857" t="s">
        <v>229</v>
      </c>
      <c r="E857">
        <v>1</v>
      </c>
      <c r="F857" t="s">
        <v>239</v>
      </c>
      <c r="G857" t="s">
        <v>237</v>
      </c>
      <c r="H857">
        <v>1</v>
      </c>
      <c r="I857">
        <v>0</v>
      </c>
      <c r="J857">
        <v>0</v>
      </c>
      <c r="K857">
        <v>0</v>
      </c>
      <c r="L857">
        <v>0</v>
      </c>
    </row>
    <row r="858" spans="1:12" x14ac:dyDescent="0.35">
      <c r="A858" t="s">
        <v>434</v>
      </c>
      <c r="B858" s="7">
        <v>43748.551562499997</v>
      </c>
      <c r="C858" t="s">
        <v>24</v>
      </c>
      <c r="D858" t="s">
        <v>34</v>
      </c>
      <c r="E858">
        <v>1</v>
      </c>
      <c r="F858" t="s">
        <v>240</v>
      </c>
      <c r="G858" t="s">
        <v>237</v>
      </c>
      <c r="H858">
        <v>1</v>
      </c>
      <c r="I858">
        <v>0</v>
      </c>
      <c r="J858">
        <v>0</v>
      </c>
      <c r="K858">
        <v>0</v>
      </c>
      <c r="L858">
        <v>0</v>
      </c>
    </row>
    <row r="859" spans="1:12" x14ac:dyDescent="0.35">
      <c r="A859" t="s">
        <v>435</v>
      </c>
      <c r="B859" s="7">
        <v>43748.551562499997</v>
      </c>
      <c r="C859" t="s">
        <v>85</v>
      </c>
      <c r="D859" t="s">
        <v>31</v>
      </c>
      <c r="E859">
        <v>1</v>
      </c>
      <c r="F859" t="s">
        <v>240</v>
      </c>
      <c r="G859" t="s">
        <v>237</v>
      </c>
      <c r="H859">
        <v>0</v>
      </c>
      <c r="I859">
        <v>0</v>
      </c>
      <c r="J859">
        <v>0</v>
      </c>
      <c r="K859">
        <v>1</v>
      </c>
      <c r="L859">
        <v>0</v>
      </c>
    </row>
    <row r="860" spans="1:12" x14ac:dyDescent="0.35">
      <c r="A860" t="s">
        <v>434</v>
      </c>
      <c r="B860" s="7">
        <v>43748.551562499997</v>
      </c>
      <c r="C860" t="s">
        <v>24</v>
      </c>
      <c r="D860" t="s">
        <v>34</v>
      </c>
      <c r="E860">
        <v>1</v>
      </c>
      <c r="F860" t="s">
        <v>242</v>
      </c>
      <c r="G860" t="s">
        <v>231</v>
      </c>
      <c r="H860">
        <v>1</v>
      </c>
      <c r="I860">
        <v>0</v>
      </c>
      <c r="J860">
        <v>0</v>
      </c>
      <c r="K860">
        <v>0</v>
      </c>
      <c r="L860">
        <v>0</v>
      </c>
    </row>
    <row r="861" spans="1:12" x14ac:dyDescent="0.35">
      <c r="A861" t="s">
        <v>436</v>
      </c>
      <c r="B861" s="7">
        <v>43749.551562499997</v>
      </c>
      <c r="C861" t="s">
        <v>228</v>
      </c>
      <c r="D861" t="s">
        <v>233</v>
      </c>
      <c r="E861">
        <v>1</v>
      </c>
      <c r="F861" t="s">
        <v>230</v>
      </c>
      <c r="G861" t="s">
        <v>231</v>
      </c>
      <c r="H861">
        <v>0</v>
      </c>
      <c r="I861">
        <v>1</v>
      </c>
      <c r="J861">
        <v>0</v>
      </c>
      <c r="K861">
        <v>0</v>
      </c>
      <c r="L861">
        <v>0</v>
      </c>
    </row>
    <row r="862" spans="1:12" x14ac:dyDescent="0.35">
      <c r="A862" t="s">
        <v>437</v>
      </c>
      <c r="B862" s="7">
        <v>43749.551562499997</v>
      </c>
      <c r="C862" t="s">
        <v>24</v>
      </c>
      <c r="D862" t="s">
        <v>31</v>
      </c>
      <c r="E862">
        <v>1</v>
      </c>
      <c r="F862" t="s">
        <v>249</v>
      </c>
      <c r="G862" t="s">
        <v>231</v>
      </c>
      <c r="H862">
        <v>1</v>
      </c>
      <c r="I862">
        <v>0</v>
      </c>
      <c r="J862">
        <v>0</v>
      </c>
      <c r="K862">
        <v>0</v>
      </c>
      <c r="L862">
        <v>0</v>
      </c>
    </row>
    <row r="863" spans="1:12" x14ac:dyDescent="0.35">
      <c r="A863" t="s">
        <v>437</v>
      </c>
      <c r="B863" s="7">
        <v>43749.551562499997</v>
      </c>
      <c r="C863" t="s">
        <v>24</v>
      </c>
      <c r="D863" t="s">
        <v>31</v>
      </c>
      <c r="E863">
        <v>1</v>
      </c>
      <c r="F863" t="s">
        <v>249</v>
      </c>
      <c r="G863" t="s">
        <v>231</v>
      </c>
      <c r="H863">
        <v>1</v>
      </c>
      <c r="I863">
        <v>0</v>
      </c>
      <c r="J863">
        <v>0</v>
      </c>
      <c r="K863">
        <v>0</v>
      </c>
      <c r="L863">
        <v>0</v>
      </c>
    </row>
    <row r="864" spans="1:12" x14ac:dyDescent="0.35">
      <c r="A864" t="s">
        <v>437</v>
      </c>
      <c r="B864" s="7">
        <v>43749.551562499997</v>
      </c>
      <c r="C864" t="s">
        <v>24</v>
      </c>
      <c r="D864" t="s">
        <v>235</v>
      </c>
      <c r="E864">
        <v>1</v>
      </c>
      <c r="F864" t="s">
        <v>236</v>
      </c>
      <c r="G864" t="s">
        <v>237</v>
      </c>
      <c r="H864">
        <v>1</v>
      </c>
      <c r="I864">
        <v>0</v>
      </c>
      <c r="J864">
        <v>0</v>
      </c>
      <c r="K864">
        <v>0</v>
      </c>
      <c r="L864">
        <v>0</v>
      </c>
    </row>
    <row r="865" spans="1:12" x14ac:dyDescent="0.35">
      <c r="A865" t="s">
        <v>437</v>
      </c>
      <c r="B865" s="7">
        <v>43749.551562499997</v>
      </c>
      <c r="C865" t="s">
        <v>24</v>
      </c>
      <c r="D865" t="s">
        <v>233</v>
      </c>
      <c r="E865">
        <v>1</v>
      </c>
      <c r="F865" t="s">
        <v>236</v>
      </c>
      <c r="G865" t="s">
        <v>237</v>
      </c>
      <c r="H865">
        <v>1</v>
      </c>
      <c r="I865">
        <v>0</v>
      </c>
      <c r="J865">
        <v>0</v>
      </c>
      <c r="K865">
        <v>0</v>
      </c>
      <c r="L865">
        <v>0</v>
      </c>
    </row>
    <row r="866" spans="1:12" x14ac:dyDescent="0.35">
      <c r="A866" t="s">
        <v>437</v>
      </c>
      <c r="B866" s="7">
        <v>43749.551562499997</v>
      </c>
      <c r="C866" t="s">
        <v>24</v>
      </c>
      <c r="D866" t="s">
        <v>238</v>
      </c>
      <c r="E866">
        <v>1</v>
      </c>
      <c r="F866" t="s">
        <v>236</v>
      </c>
      <c r="G866" t="s">
        <v>237</v>
      </c>
      <c r="H866">
        <v>1</v>
      </c>
      <c r="I866">
        <v>0</v>
      </c>
      <c r="J866">
        <v>0</v>
      </c>
      <c r="K866">
        <v>0</v>
      </c>
      <c r="L866">
        <v>0</v>
      </c>
    </row>
    <row r="867" spans="1:12" x14ac:dyDescent="0.35">
      <c r="A867" t="s">
        <v>438</v>
      </c>
      <c r="B867" s="7">
        <v>43749.551562499997</v>
      </c>
      <c r="C867" t="s">
        <v>85</v>
      </c>
      <c r="D867" t="s">
        <v>34</v>
      </c>
      <c r="E867">
        <v>1</v>
      </c>
      <c r="F867" t="s">
        <v>236</v>
      </c>
      <c r="G867" t="s">
        <v>237</v>
      </c>
      <c r="H867">
        <v>0</v>
      </c>
      <c r="I867">
        <v>0</v>
      </c>
      <c r="J867">
        <v>0</v>
      </c>
      <c r="K867">
        <v>1</v>
      </c>
      <c r="L867">
        <v>0</v>
      </c>
    </row>
    <row r="868" spans="1:12" x14ac:dyDescent="0.35">
      <c r="A868" t="s">
        <v>437</v>
      </c>
      <c r="B868" s="7">
        <v>43749.551562499997</v>
      </c>
      <c r="C868" t="s">
        <v>24</v>
      </c>
      <c r="D868" t="s">
        <v>31</v>
      </c>
      <c r="E868">
        <v>1</v>
      </c>
      <c r="F868" t="s">
        <v>236</v>
      </c>
      <c r="G868" t="s">
        <v>237</v>
      </c>
      <c r="H868">
        <v>1</v>
      </c>
      <c r="I868">
        <v>0</v>
      </c>
      <c r="J868">
        <v>0</v>
      </c>
      <c r="K868">
        <v>0</v>
      </c>
      <c r="L868">
        <v>0</v>
      </c>
    </row>
    <row r="869" spans="1:12" x14ac:dyDescent="0.35">
      <c r="A869" t="s">
        <v>439</v>
      </c>
      <c r="B869" s="7">
        <v>43749.551562499997</v>
      </c>
      <c r="C869" t="s">
        <v>108</v>
      </c>
      <c r="D869" t="s">
        <v>31</v>
      </c>
      <c r="E869">
        <v>1</v>
      </c>
      <c r="F869" t="s">
        <v>239</v>
      </c>
      <c r="G869" t="s">
        <v>237</v>
      </c>
      <c r="H869">
        <v>0</v>
      </c>
      <c r="I869">
        <v>0</v>
      </c>
      <c r="J869">
        <v>1</v>
      </c>
      <c r="K869">
        <v>0</v>
      </c>
      <c r="L869">
        <v>0</v>
      </c>
    </row>
    <row r="870" spans="1:12" x14ac:dyDescent="0.35">
      <c r="A870" t="s">
        <v>437</v>
      </c>
      <c r="B870" s="7">
        <v>43749.551562499997</v>
      </c>
      <c r="C870" t="s">
        <v>24</v>
      </c>
      <c r="D870" t="s">
        <v>31</v>
      </c>
      <c r="E870">
        <v>1</v>
      </c>
      <c r="F870" t="s">
        <v>239</v>
      </c>
      <c r="G870" t="s">
        <v>237</v>
      </c>
      <c r="H870">
        <v>1</v>
      </c>
      <c r="I870">
        <v>0</v>
      </c>
      <c r="J870">
        <v>0</v>
      </c>
      <c r="K870">
        <v>0</v>
      </c>
      <c r="L870">
        <v>0</v>
      </c>
    </row>
    <row r="871" spans="1:12" x14ac:dyDescent="0.35">
      <c r="A871" t="s">
        <v>437</v>
      </c>
      <c r="B871" s="7">
        <v>43749.551562499997</v>
      </c>
      <c r="C871" t="s">
        <v>24</v>
      </c>
      <c r="D871" t="s">
        <v>34</v>
      </c>
      <c r="E871">
        <v>1</v>
      </c>
      <c r="F871" t="s">
        <v>240</v>
      </c>
      <c r="G871" t="s">
        <v>237</v>
      </c>
      <c r="H871">
        <v>1</v>
      </c>
      <c r="I871">
        <v>0</v>
      </c>
      <c r="J871">
        <v>0</v>
      </c>
      <c r="K871">
        <v>0</v>
      </c>
      <c r="L871">
        <v>0</v>
      </c>
    </row>
    <row r="872" spans="1:12" x14ac:dyDescent="0.35">
      <c r="A872" t="s">
        <v>437</v>
      </c>
      <c r="B872" s="7">
        <v>43749.551562499997</v>
      </c>
      <c r="C872" t="s">
        <v>24</v>
      </c>
      <c r="D872" t="s">
        <v>235</v>
      </c>
      <c r="E872">
        <v>1</v>
      </c>
      <c r="F872" t="s">
        <v>240</v>
      </c>
      <c r="G872" t="s">
        <v>237</v>
      </c>
      <c r="H872">
        <v>1</v>
      </c>
      <c r="I872">
        <v>0</v>
      </c>
      <c r="J872">
        <v>0</v>
      </c>
      <c r="K872">
        <v>0</v>
      </c>
      <c r="L872">
        <v>0</v>
      </c>
    </row>
    <row r="873" spans="1:12" x14ac:dyDescent="0.35">
      <c r="A873" t="s">
        <v>437</v>
      </c>
      <c r="B873" s="7">
        <v>43749.551562499997</v>
      </c>
      <c r="C873" t="s">
        <v>24</v>
      </c>
      <c r="D873" t="s">
        <v>34</v>
      </c>
      <c r="E873">
        <v>1</v>
      </c>
      <c r="F873" t="s">
        <v>240</v>
      </c>
      <c r="G873" t="s">
        <v>237</v>
      </c>
      <c r="H873">
        <v>1</v>
      </c>
      <c r="I873">
        <v>0</v>
      </c>
      <c r="J873">
        <v>0</v>
      </c>
      <c r="K873">
        <v>0</v>
      </c>
      <c r="L873">
        <v>0</v>
      </c>
    </row>
    <row r="874" spans="1:12" x14ac:dyDescent="0.35">
      <c r="A874" t="s">
        <v>437</v>
      </c>
      <c r="B874" s="7">
        <v>43749.551562499997</v>
      </c>
      <c r="C874" t="s">
        <v>24</v>
      </c>
      <c r="D874" t="s">
        <v>31</v>
      </c>
      <c r="E874">
        <v>1</v>
      </c>
      <c r="F874" t="s">
        <v>242</v>
      </c>
      <c r="G874" t="s">
        <v>231</v>
      </c>
      <c r="H874">
        <v>1</v>
      </c>
      <c r="I874">
        <v>0</v>
      </c>
      <c r="J874">
        <v>0</v>
      </c>
      <c r="K874">
        <v>0</v>
      </c>
      <c r="L874">
        <v>0</v>
      </c>
    </row>
    <row r="875" spans="1:12" x14ac:dyDescent="0.35">
      <c r="A875" t="s">
        <v>440</v>
      </c>
      <c r="B875" s="7">
        <v>43750.551562499997</v>
      </c>
      <c r="C875" t="s">
        <v>24</v>
      </c>
      <c r="D875" t="s">
        <v>233</v>
      </c>
      <c r="E875">
        <v>1</v>
      </c>
      <c r="F875" t="s">
        <v>230</v>
      </c>
      <c r="G875" t="s">
        <v>231</v>
      </c>
      <c r="H875">
        <v>1</v>
      </c>
      <c r="I875">
        <v>0</v>
      </c>
      <c r="J875">
        <v>0</v>
      </c>
      <c r="K875">
        <v>0</v>
      </c>
      <c r="L875">
        <v>0</v>
      </c>
    </row>
    <row r="876" spans="1:12" x14ac:dyDescent="0.35">
      <c r="A876" t="s">
        <v>440</v>
      </c>
      <c r="B876" s="7">
        <v>43750.551562499997</v>
      </c>
      <c r="C876" t="s">
        <v>24</v>
      </c>
      <c r="D876" t="s">
        <v>233</v>
      </c>
      <c r="E876">
        <v>1</v>
      </c>
      <c r="F876" t="s">
        <v>249</v>
      </c>
      <c r="G876" t="s">
        <v>231</v>
      </c>
      <c r="H876">
        <v>1</v>
      </c>
      <c r="I876">
        <v>0</v>
      </c>
      <c r="J876">
        <v>0</v>
      </c>
      <c r="K876">
        <v>0</v>
      </c>
      <c r="L876">
        <v>0</v>
      </c>
    </row>
    <row r="877" spans="1:12" x14ac:dyDescent="0.35">
      <c r="A877" t="s">
        <v>441</v>
      </c>
      <c r="B877" s="7">
        <v>43750.551562499997</v>
      </c>
      <c r="C877" t="s">
        <v>228</v>
      </c>
      <c r="D877" t="s">
        <v>229</v>
      </c>
      <c r="E877">
        <v>1</v>
      </c>
      <c r="F877" t="s">
        <v>242</v>
      </c>
      <c r="G877" t="s">
        <v>231</v>
      </c>
      <c r="H877">
        <v>0</v>
      </c>
      <c r="I877">
        <v>1</v>
      </c>
      <c r="J877">
        <v>0</v>
      </c>
      <c r="K877">
        <v>0</v>
      </c>
      <c r="L877">
        <v>0</v>
      </c>
    </row>
    <row r="878" spans="1:12" x14ac:dyDescent="0.35">
      <c r="A878" t="s">
        <v>442</v>
      </c>
      <c r="B878" s="7">
        <v>43751.551562499997</v>
      </c>
      <c r="C878" t="s">
        <v>228</v>
      </c>
      <c r="D878" t="s">
        <v>31</v>
      </c>
      <c r="E878">
        <v>1</v>
      </c>
      <c r="F878" t="s">
        <v>249</v>
      </c>
      <c r="G878" t="s">
        <v>231</v>
      </c>
      <c r="H878">
        <v>0</v>
      </c>
      <c r="I878">
        <v>1</v>
      </c>
      <c r="J878">
        <v>0</v>
      </c>
      <c r="K878">
        <v>0</v>
      </c>
      <c r="L878">
        <v>0</v>
      </c>
    </row>
    <row r="879" spans="1:12" x14ac:dyDescent="0.35">
      <c r="A879" t="s">
        <v>443</v>
      </c>
      <c r="B879" s="7">
        <v>43751.551562499997</v>
      </c>
      <c r="C879" t="s">
        <v>85</v>
      </c>
      <c r="D879" t="s">
        <v>34</v>
      </c>
      <c r="E879">
        <v>1</v>
      </c>
      <c r="F879" t="s">
        <v>249</v>
      </c>
      <c r="G879" t="s">
        <v>231</v>
      </c>
      <c r="H879">
        <v>0</v>
      </c>
      <c r="I879">
        <v>0</v>
      </c>
      <c r="J879">
        <v>0</v>
      </c>
      <c r="K879">
        <v>1</v>
      </c>
      <c r="L879">
        <v>0</v>
      </c>
    </row>
    <row r="880" spans="1:12" x14ac:dyDescent="0.35">
      <c r="A880" t="s">
        <v>442</v>
      </c>
      <c r="B880" s="7">
        <v>43751.551562499997</v>
      </c>
      <c r="C880" t="s">
        <v>228</v>
      </c>
      <c r="D880" t="s">
        <v>31</v>
      </c>
      <c r="E880">
        <v>1</v>
      </c>
      <c r="F880" t="s">
        <v>249</v>
      </c>
      <c r="G880" t="s">
        <v>231</v>
      </c>
      <c r="H880">
        <v>0</v>
      </c>
      <c r="I880">
        <v>1</v>
      </c>
      <c r="J880">
        <v>0</v>
      </c>
      <c r="K880">
        <v>0</v>
      </c>
      <c r="L880">
        <v>0</v>
      </c>
    </row>
    <row r="881" spans="1:12" x14ac:dyDescent="0.35">
      <c r="A881" t="s">
        <v>442</v>
      </c>
      <c r="B881" s="7">
        <v>43751.551562499997</v>
      </c>
      <c r="C881" t="s">
        <v>228</v>
      </c>
      <c r="D881" t="s">
        <v>235</v>
      </c>
      <c r="E881">
        <v>1</v>
      </c>
      <c r="F881" t="s">
        <v>236</v>
      </c>
      <c r="G881" t="s">
        <v>237</v>
      </c>
      <c r="H881">
        <v>0</v>
      </c>
      <c r="I881">
        <v>1</v>
      </c>
      <c r="J881">
        <v>0</v>
      </c>
      <c r="K881">
        <v>0</v>
      </c>
      <c r="L881">
        <v>0</v>
      </c>
    </row>
    <row r="882" spans="1:12" x14ac:dyDescent="0.35">
      <c r="A882" t="s">
        <v>444</v>
      </c>
      <c r="B882" s="7">
        <v>43751.551562499997</v>
      </c>
      <c r="C882" t="s">
        <v>24</v>
      </c>
      <c r="D882" t="s">
        <v>34</v>
      </c>
      <c r="E882">
        <v>1</v>
      </c>
      <c r="F882" t="s">
        <v>236</v>
      </c>
      <c r="G882" t="s">
        <v>237</v>
      </c>
      <c r="H882">
        <v>1</v>
      </c>
      <c r="I882">
        <v>0</v>
      </c>
      <c r="J882">
        <v>0</v>
      </c>
      <c r="K882">
        <v>0</v>
      </c>
      <c r="L882">
        <v>0</v>
      </c>
    </row>
    <row r="883" spans="1:12" x14ac:dyDescent="0.35">
      <c r="A883" t="s">
        <v>442</v>
      </c>
      <c r="B883" s="7">
        <v>43751.551562499997</v>
      </c>
      <c r="C883" t="s">
        <v>228</v>
      </c>
      <c r="D883" t="s">
        <v>233</v>
      </c>
      <c r="E883">
        <v>1</v>
      </c>
      <c r="F883" t="s">
        <v>236</v>
      </c>
      <c r="G883" t="s">
        <v>237</v>
      </c>
      <c r="H883">
        <v>0</v>
      </c>
      <c r="I883">
        <v>1</v>
      </c>
      <c r="J883">
        <v>0</v>
      </c>
      <c r="K883">
        <v>0</v>
      </c>
      <c r="L883">
        <v>0</v>
      </c>
    </row>
    <row r="884" spans="1:12" x14ac:dyDescent="0.35">
      <c r="A884" t="s">
        <v>444</v>
      </c>
      <c r="B884" s="7">
        <v>43751.551562499997</v>
      </c>
      <c r="C884" t="s">
        <v>24</v>
      </c>
      <c r="D884" t="s">
        <v>34</v>
      </c>
      <c r="E884">
        <v>1</v>
      </c>
      <c r="F884" t="s">
        <v>239</v>
      </c>
      <c r="G884" t="s">
        <v>237</v>
      </c>
      <c r="H884">
        <v>1</v>
      </c>
      <c r="I884">
        <v>0</v>
      </c>
      <c r="J884">
        <v>0</v>
      </c>
      <c r="K884">
        <v>0</v>
      </c>
      <c r="L884">
        <v>0</v>
      </c>
    </row>
    <row r="885" spans="1:12" x14ac:dyDescent="0.35">
      <c r="A885" t="s">
        <v>444</v>
      </c>
      <c r="B885" s="7">
        <v>43751.551562499997</v>
      </c>
      <c r="C885" t="s">
        <v>24</v>
      </c>
      <c r="D885" t="s">
        <v>238</v>
      </c>
      <c r="E885">
        <v>1</v>
      </c>
      <c r="F885" t="s">
        <v>239</v>
      </c>
      <c r="G885" t="s">
        <v>237</v>
      </c>
      <c r="H885">
        <v>1</v>
      </c>
      <c r="I885">
        <v>0</v>
      </c>
      <c r="J885">
        <v>0</v>
      </c>
      <c r="K885">
        <v>0</v>
      </c>
      <c r="L885">
        <v>0</v>
      </c>
    </row>
    <row r="886" spans="1:12" x14ac:dyDescent="0.35">
      <c r="A886" t="s">
        <v>444</v>
      </c>
      <c r="B886" s="7">
        <v>43751.551562499997</v>
      </c>
      <c r="C886" t="s">
        <v>24</v>
      </c>
      <c r="D886" t="s">
        <v>238</v>
      </c>
      <c r="E886">
        <v>1</v>
      </c>
      <c r="F886" t="s">
        <v>240</v>
      </c>
      <c r="G886" t="s">
        <v>237</v>
      </c>
      <c r="H886">
        <v>1</v>
      </c>
      <c r="I886">
        <v>0</v>
      </c>
      <c r="J886">
        <v>0</v>
      </c>
      <c r="K886">
        <v>0</v>
      </c>
      <c r="L886">
        <v>0</v>
      </c>
    </row>
    <row r="887" spans="1:12" x14ac:dyDescent="0.35">
      <c r="A887" t="s">
        <v>442</v>
      </c>
      <c r="B887" s="7">
        <v>43751.551562499997</v>
      </c>
      <c r="C887" t="s">
        <v>228</v>
      </c>
      <c r="D887" t="s">
        <v>238</v>
      </c>
      <c r="E887">
        <v>1</v>
      </c>
      <c r="F887" t="s">
        <v>240</v>
      </c>
      <c r="G887" t="s">
        <v>237</v>
      </c>
      <c r="H887">
        <v>0</v>
      </c>
      <c r="I887">
        <v>1</v>
      </c>
      <c r="J887">
        <v>0</v>
      </c>
      <c r="K887">
        <v>0</v>
      </c>
      <c r="L887">
        <v>0</v>
      </c>
    </row>
    <row r="888" spans="1:12" x14ac:dyDescent="0.35">
      <c r="A888" t="s">
        <v>444</v>
      </c>
      <c r="B888" s="7">
        <v>43751.551562499997</v>
      </c>
      <c r="C888" t="s">
        <v>24</v>
      </c>
      <c r="D888" t="s">
        <v>31</v>
      </c>
      <c r="E888">
        <v>1</v>
      </c>
      <c r="F888" t="s">
        <v>240</v>
      </c>
      <c r="G888" t="s">
        <v>237</v>
      </c>
      <c r="H888">
        <v>1</v>
      </c>
      <c r="I888">
        <v>0</v>
      </c>
      <c r="J888">
        <v>0</v>
      </c>
      <c r="K888">
        <v>0</v>
      </c>
      <c r="L888">
        <v>0</v>
      </c>
    </row>
    <row r="889" spans="1:12" x14ac:dyDescent="0.35">
      <c r="A889" t="s">
        <v>444</v>
      </c>
      <c r="B889" s="7">
        <v>43751.551562499997</v>
      </c>
      <c r="C889" t="s">
        <v>24</v>
      </c>
      <c r="D889" t="s">
        <v>229</v>
      </c>
      <c r="E889">
        <v>1</v>
      </c>
      <c r="F889" t="s">
        <v>242</v>
      </c>
      <c r="G889" t="s">
        <v>231</v>
      </c>
      <c r="H889">
        <v>1</v>
      </c>
      <c r="I889">
        <v>0</v>
      </c>
      <c r="J889">
        <v>0</v>
      </c>
      <c r="K889">
        <v>0</v>
      </c>
      <c r="L889">
        <v>0</v>
      </c>
    </row>
    <row r="890" spans="1:12" x14ac:dyDescent="0.35">
      <c r="A890" t="s">
        <v>445</v>
      </c>
      <c r="B890" s="7">
        <v>43751.551562499997</v>
      </c>
      <c r="C890" t="s">
        <v>108</v>
      </c>
      <c r="D890" t="s">
        <v>31</v>
      </c>
      <c r="E890">
        <v>1</v>
      </c>
      <c r="F890" t="s">
        <v>242</v>
      </c>
      <c r="G890" t="s">
        <v>231</v>
      </c>
      <c r="H890">
        <v>0</v>
      </c>
      <c r="I890">
        <v>0</v>
      </c>
      <c r="J890">
        <v>1</v>
      </c>
      <c r="K890">
        <v>0</v>
      </c>
      <c r="L890">
        <v>0</v>
      </c>
    </row>
    <row r="891" spans="1:12" x14ac:dyDescent="0.35">
      <c r="A891" t="s">
        <v>208</v>
      </c>
      <c r="B891" s="7">
        <v>43752.49486111111</v>
      </c>
      <c r="C891" t="s">
        <v>108</v>
      </c>
      <c r="D891" t="s">
        <v>136</v>
      </c>
      <c r="E891">
        <v>1</v>
      </c>
      <c r="F891" t="s">
        <v>505</v>
      </c>
      <c r="G891" t="s">
        <v>27</v>
      </c>
      <c r="H891">
        <v>0</v>
      </c>
      <c r="I891">
        <v>0</v>
      </c>
      <c r="J891">
        <v>1</v>
      </c>
      <c r="K891">
        <v>0</v>
      </c>
      <c r="L891">
        <v>0</v>
      </c>
    </row>
    <row r="892" spans="1:12" x14ac:dyDescent="0.35">
      <c r="A892" t="s">
        <v>209</v>
      </c>
      <c r="B892" s="7">
        <v>43752.495254629626</v>
      </c>
      <c r="C892" t="s">
        <v>85</v>
      </c>
      <c r="D892" t="s">
        <v>136</v>
      </c>
      <c r="E892">
        <v>1</v>
      </c>
      <c r="F892" t="s">
        <v>505</v>
      </c>
      <c r="G892" t="s">
        <v>27</v>
      </c>
      <c r="H892">
        <v>0</v>
      </c>
      <c r="I892">
        <v>0</v>
      </c>
      <c r="J892">
        <v>0</v>
      </c>
      <c r="K892">
        <v>1</v>
      </c>
      <c r="L892">
        <v>0</v>
      </c>
    </row>
    <row r="893" spans="1:12" x14ac:dyDescent="0.35">
      <c r="A893" t="s">
        <v>210</v>
      </c>
      <c r="B893" s="7">
        <v>43752.496064814812</v>
      </c>
      <c r="C893" t="s">
        <v>24</v>
      </c>
      <c r="D893" t="s">
        <v>62</v>
      </c>
      <c r="E893">
        <v>1</v>
      </c>
      <c r="F893" t="s">
        <v>505</v>
      </c>
      <c r="G893" t="s">
        <v>27</v>
      </c>
      <c r="H893">
        <v>1</v>
      </c>
      <c r="I893">
        <v>0</v>
      </c>
      <c r="J893">
        <v>0</v>
      </c>
      <c r="K893">
        <v>0</v>
      </c>
      <c r="L893">
        <v>0</v>
      </c>
    </row>
    <row r="894" spans="1:12" x14ac:dyDescent="0.35">
      <c r="A894" t="s">
        <v>211</v>
      </c>
      <c r="B894" s="7">
        <v>43752.496087962965</v>
      </c>
      <c r="C894" t="s">
        <v>24</v>
      </c>
      <c r="D894" t="s">
        <v>75</v>
      </c>
      <c r="E894">
        <v>1</v>
      </c>
      <c r="F894" t="s">
        <v>505</v>
      </c>
      <c r="G894" t="s">
        <v>27</v>
      </c>
      <c r="H894">
        <v>1</v>
      </c>
      <c r="I894">
        <v>0</v>
      </c>
      <c r="J894">
        <v>0</v>
      </c>
      <c r="K894">
        <v>0</v>
      </c>
      <c r="L894">
        <v>0</v>
      </c>
    </row>
    <row r="895" spans="1:12" x14ac:dyDescent="0.35">
      <c r="A895" t="s">
        <v>212</v>
      </c>
      <c r="B895" s="7">
        <v>43752.496099537035</v>
      </c>
      <c r="C895" t="s">
        <v>24</v>
      </c>
      <c r="D895" t="s">
        <v>96</v>
      </c>
      <c r="E895">
        <v>1</v>
      </c>
      <c r="F895" t="s">
        <v>505</v>
      </c>
      <c r="G895" t="s">
        <v>27</v>
      </c>
      <c r="H895">
        <v>1</v>
      </c>
      <c r="I895">
        <v>0</v>
      </c>
      <c r="J895">
        <v>0</v>
      </c>
      <c r="K895">
        <v>0</v>
      </c>
      <c r="L895">
        <v>0</v>
      </c>
    </row>
    <row r="896" spans="1:12" x14ac:dyDescent="0.35">
      <c r="A896" t="s">
        <v>213</v>
      </c>
      <c r="B896" s="7">
        <v>43752.496180555558</v>
      </c>
      <c r="C896" t="s">
        <v>24</v>
      </c>
      <c r="D896" t="s">
        <v>62</v>
      </c>
      <c r="E896">
        <v>1</v>
      </c>
      <c r="F896" t="s">
        <v>505</v>
      </c>
      <c r="G896" t="s">
        <v>27</v>
      </c>
      <c r="H896">
        <v>1</v>
      </c>
      <c r="I896">
        <v>0</v>
      </c>
      <c r="J896">
        <v>0</v>
      </c>
      <c r="K896">
        <v>0</v>
      </c>
      <c r="L896">
        <v>0</v>
      </c>
    </row>
    <row r="897" spans="1:12" x14ac:dyDescent="0.35">
      <c r="A897" t="s">
        <v>214</v>
      </c>
      <c r="B897" s="7">
        <v>43752.496203703704</v>
      </c>
      <c r="C897" t="s">
        <v>85</v>
      </c>
      <c r="D897" t="s">
        <v>62</v>
      </c>
      <c r="E897">
        <v>1</v>
      </c>
      <c r="F897" t="s">
        <v>505</v>
      </c>
      <c r="G897" t="s">
        <v>27</v>
      </c>
      <c r="H897">
        <v>0</v>
      </c>
      <c r="I897">
        <v>0</v>
      </c>
      <c r="J897">
        <v>0</v>
      </c>
      <c r="K897">
        <v>1</v>
      </c>
      <c r="L897">
        <v>0</v>
      </c>
    </row>
    <row r="898" spans="1:12" x14ac:dyDescent="0.35">
      <c r="A898" t="s">
        <v>215</v>
      </c>
      <c r="B898" s="7">
        <v>43752.496550925927</v>
      </c>
      <c r="C898" t="s">
        <v>24</v>
      </c>
      <c r="D898" t="s">
        <v>136</v>
      </c>
      <c r="E898">
        <v>1</v>
      </c>
      <c r="F898" t="s">
        <v>505</v>
      </c>
      <c r="G898" t="s">
        <v>27</v>
      </c>
      <c r="H898">
        <v>1</v>
      </c>
      <c r="I898">
        <v>0</v>
      </c>
      <c r="J898">
        <v>0</v>
      </c>
      <c r="K898">
        <v>0</v>
      </c>
      <c r="L898">
        <v>0</v>
      </c>
    </row>
    <row r="899" spans="1:12" x14ac:dyDescent="0.35">
      <c r="A899" t="s">
        <v>216</v>
      </c>
      <c r="B899" s="7">
        <v>43752.496562499997</v>
      </c>
      <c r="C899" t="s">
        <v>24</v>
      </c>
      <c r="D899" t="s">
        <v>34</v>
      </c>
      <c r="E899">
        <v>1</v>
      </c>
      <c r="F899" t="s">
        <v>505</v>
      </c>
      <c r="G899" t="s">
        <v>27</v>
      </c>
      <c r="H899">
        <v>1</v>
      </c>
      <c r="I899">
        <v>0</v>
      </c>
      <c r="J899">
        <v>0</v>
      </c>
      <c r="K899">
        <v>0</v>
      </c>
      <c r="L899">
        <v>0</v>
      </c>
    </row>
    <row r="900" spans="1:12" x14ac:dyDescent="0.35">
      <c r="A900" t="s">
        <v>217</v>
      </c>
      <c r="B900" s="7">
        <v>43752.496631944443</v>
      </c>
      <c r="C900" t="s">
        <v>24</v>
      </c>
      <c r="D900" t="s">
        <v>32</v>
      </c>
      <c r="E900">
        <v>1</v>
      </c>
      <c r="F900" t="s">
        <v>505</v>
      </c>
      <c r="G900" t="s">
        <v>27</v>
      </c>
      <c r="H900">
        <v>1</v>
      </c>
      <c r="I900">
        <v>0</v>
      </c>
      <c r="J900">
        <v>0</v>
      </c>
      <c r="K900">
        <v>0</v>
      </c>
      <c r="L900">
        <v>0</v>
      </c>
    </row>
    <row r="901" spans="1:12" x14ac:dyDescent="0.35">
      <c r="A901" t="s">
        <v>218</v>
      </c>
      <c r="B901" s="7">
        <v>43752.49664351852</v>
      </c>
      <c r="C901" t="s">
        <v>24</v>
      </c>
      <c r="D901" t="s">
        <v>31</v>
      </c>
      <c r="E901">
        <v>1</v>
      </c>
      <c r="F901" t="s">
        <v>505</v>
      </c>
      <c r="G901" t="s">
        <v>27</v>
      </c>
      <c r="H901">
        <v>1</v>
      </c>
      <c r="I901">
        <v>0</v>
      </c>
      <c r="J901">
        <v>0</v>
      </c>
      <c r="K901">
        <v>0</v>
      </c>
      <c r="L901">
        <v>0</v>
      </c>
    </row>
    <row r="902" spans="1:12" x14ac:dyDescent="0.35">
      <c r="A902" t="s">
        <v>219</v>
      </c>
      <c r="B902" s="7">
        <v>43752.496724537035</v>
      </c>
      <c r="C902" t="s">
        <v>24</v>
      </c>
      <c r="D902" t="s">
        <v>136</v>
      </c>
      <c r="E902">
        <v>1</v>
      </c>
      <c r="F902" t="s">
        <v>505</v>
      </c>
      <c r="G902" t="s">
        <v>27</v>
      </c>
      <c r="H902">
        <v>1</v>
      </c>
      <c r="I902">
        <v>0</v>
      </c>
      <c r="J902">
        <v>0</v>
      </c>
      <c r="K902">
        <v>0</v>
      </c>
      <c r="L902">
        <v>0</v>
      </c>
    </row>
    <row r="903" spans="1:12" x14ac:dyDescent="0.35">
      <c r="A903" t="s">
        <v>220</v>
      </c>
      <c r="B903" s="7">
        <v>43752.496736111112</v>
      </c>
      <c r="C903" t="s">
        <v>24</v>
      </c>
      <c r="D903" t="s">
        <v>32</v>
      </c>
      <c r="E903">
        <v>1</v>
      </c>
      <c r="F903" t="s">
        <v>505</v>
      </c>
      <c r="G903" t="s">
        <v>27</v>
      </c>
      <c r="H903">
        <v>1</v>
      </c>
      <c r="I903">
        <v>0</v>
      </c>
      <c r="J903">
        <v>0</v>
      </c>
      <c r="K903">
        <v>0</v>
      </c>
      <c r="L903">
        <v>0</v>
      </c>
    </row>
    <row r="904" spans="1:12" x14ac:dyDescent="0.35">
      <c r="A904" t="s">
        <v>221</v>
      </c>
      <c r="B904" s="7">
        <v>43752.496770833335</v>
      </c>
      <c r="C904" t="s">
        <v>24</v>
      </c>
      <c r="D904" t="s">
        <v>62</v>
      </c>
      <c r="E904">
        <v>1</v>
      </c>
      <c r="F904" t="s">
        <v>505</v>
      </c>
      <c r="G904" t="s">
        <v>27</v>
      </c>
      <c r="H904">
        <v>1</v>
      </c>
      <c r="I904">
        <v>0</v>
      </c>
      <c r="J904">
        <v>0</v>
      </c>
      <c r="K904">
        <v>0</v>
      </c>
      <c r="L904">
        <v>0</v>
      </c>
    </row>
    <row r="905" spans="1:12" x14ac:dyDescent="0.35">
      <c r="A905" t="s">
        <v>222</v>
      </c>
      <c r="B905" s="7">
        <v>43752.496782407405</v>
      </c>
      <c r="C905" t="s">
        <v>24</v>
      </c>
      <c r="D905" t="s">
        <v>75</v>
      </c>
      <c r="E905">
        <v>1</v>
      </c>
      <c r="F905" t="s">
        <v>505</v>
      </c>
      <c r="G905" t="s">
        <v>27</v>
      </c>
      <c r="H905">
        <v>1</v>
      </c>
      <c r="I905">
        <v>0</v>
      </c>
      <c r="J905">
        <v>0</v>
      </c>
      <c r="K905">
        <v>0</v>
      </c>
      <c r="L905">
        <v>0</v>
      </c>
    </row>
    <row r="906" spans="1:12" x14ac:dyDescent="0.35">
      <c r="A906" t="s">
        <v>223</v>
      </c>
      <c r="B906" s="7">
        <v>43752.496805555558</v>
      </c>
      <c r="C906" t="s">
        <v>24</v>
      </c>
      <c r="D906" t="s">
        <v>96</v>
      </c>
      <c r="E906">
        <v>1</v>
      </c>
      <c r="F906" t="s">
        <v>505</v>
      </c>
      <c r="G906" t="s">
        <v>27</v>
      </c>
      <c r="H906">
        <v>1</v>
      </c>
      <c r="I906">
        <v>0</v>
      </c>
      <c r="J906">
        <v>0</v>
      </c>
      <c r="K906">
        <v>0</v>
      </c>
      <c r="L906">
        <v>0</v>
      </c>
    </row>
    <row r="907" spans="1:12" x14ac:dyDescent="0.35">
      <c r="A907" t="s">
        <v>224</v>
      </c>
      <c r="B907" s="7">
        <v>43752.496828703705</v>
      </c>
      <c r="C907" t="s">
        <v>24</v>
      </c>
      <c r="D907" t="s">
        <v>34</v>
      </c>
      <c r="E907">
        <v>1</v>
      </c>
      <c r="F907" t="s">
        <v>505</v>
      </c>
      <c r="G907" t="s">
        <v>27</v>
      </c>
      <c r="H907">
        <v>1</v>
      </c>
      <c r="I907">
        <v>0</v>
      </c>
      <c r="J907">
        <v>0</v>
      </c>
      <c r="K907">
        <v>0</v>
      </c>
      <c r="L907">
        <v>0</v>
      </c>
    </row>
    <row r="908" spans="1:12" x14ac:dyDescent="0.35">
      <c r="A908" t="s">
        <v>225</v>
      </c>
      <c r="B908" s="7">
        <v>43752.50472222222</v>
      </c>
      <c r="C908" t="s">
        <v>108</v>
      </c>
      <c r="D908" t="s">
        <v>34</v>
      </c>
      <c r="E908">
        <v>1</v>
      </c>
      <c r="F908" t="s">
        <v>505</v>
      </c>
      <c r="G908" t="s">
        <v>27</v>
      </c>
      <c r="H908">
        <v>0</v>
      </c>
      <c r="I908">
        <v>0</v>
      </c>
      <c r="J908">
        <v>1</v>
      </c>
      <c r="K908">
        <v>0</v>
      </c>
      <c r="L908">
        <v>0</v>
      </c>
    </row>
    <row r="909" spans="1:12" x14ac:dyDescent="0.35">
      <c r="A909" t="s">
        <v>226</v>
      </c>
      <c r="B909" s="7">
        <v>43752.50476851852</v>
      </c>
      <c r="C909" t="s">
        <v>24</v>
      </c>
      <c r="D909" t="s">
        <v>136</v>
      </c>
      <c r="E909">
        <v>1</v>
      </c>
      <c r="F909" t="s">
        <v>505</v>
      </c>
      <c r="G909" t="s">
        <v>27</v>
      </c>
      <c r="H909">
        <v>1</v>
      </c>
      <c r="I909">
        <v>0</v>
      </c>
      <c r="J909">
        <v>0</v>
      </c>
      <c r="K909">
        <v>0</v>
      </c>
      <c r="L909">
        <v>0</v>
      </c>
    </row>
    <row r="910" spans="1:12" x14ac:dyDescent="0.35">
      <c r="A910" t="s">
        <v>497</v>
      </c>
      <c r="B910" s="7">
        <v>43752.53398148148</v>
      </c>
      <c r="C910" t="s">
        <v>85</v>
      </c>
      <c r="D910" t="s">
        <v>136</v>
      </c>
      <c r="E910">
        <v>1</v>
      </c>
      <c r="F910" t="s">
        <v>505</v>
      </c>
      <c r="G910" t="s">
        <v>27</v>
      </c>
      <c r="H910">
        <v>0</v>
      </c>
      <c r="I910">
        <v>0</v>
      </c>
      <c r="J910">
        <v>0</v>
      </c>
      <c r="K910">
        <v>1</v>
      </c>
      <c r="L910">
        <v>0</v>
      </c>
    </row>
    <row r="911" spans="1:12" x14ac:dyDescent="0.35">
      <c r="A911" t="s">
        <v>498</v>
      </c>
      <c r="B911" s="7">
        <v>43752.534745370373</v>
      </c>
      <c r="C911" t="s">
        <v>24</v>
      </c>
      <c r="D911" t="s">
        <v>31</v>
      </c>
      <c r="E911">
        <v>1</v>
      </c>
      <c r="F911" t="s">
        <v>505</v>
      </c>
      <c r="G911" t="s">
        <v>27</v>
      </c>
      <c r="H911">
        <v>1</v>
      </c>
      <c r="I911">
        <v>0</v>
      </c>
      <c r="J911">
        <v>0</v>
      </c>
      <c r="K911">
        <v>0</v>
      </c>
      <c r="L911">
        <v>0</v>
      </c>
    </row>
    <row r="912" spans="1:12" x14ac:dyDescent="0.35">
      <c r="A912" t="s">
        <v>499</v>
      </c>
      <c r="B912" s="7">
        <v>43752.534756944442</v>
      </c>
      <c r="C912" t="s">
        <v>24</v>
      </c>
      <c r="D912" t="s">
        <v>136</v>
      </c>
      <c r="E912">
        <v>1</v>
      </c>
      <c r="F912" t="s">
        <v>505</v>
      </c>
      <c r="G912" t="s">
        <v>27</v>
      </c>
      <c r="H912">
        <v>1</v>
      </c>
      <c r="I912">
        <v>0</v>
      </c>
      <c r="J912">
        <v>0</v>
      </c>
      <c r="K912">
        <v>0</v>
      </c>
      <c r="L912">
        <v>0</v>
      </c>
    </row>
    <row r="913" spans="1:12" x14ac:dyDescent="0.35">
      <c r="A913" t="s">
        <v>500</v>
      </c>
      <c r="B913" s="7">
        <v>43752.534768518519</v>
      </c>
      <c r="C913" t="s">
        <v>24</v>
      </c>
      <c r="D913" t="s">
        <v>62</v>
      </c>
      <c r="E913">
        <v>1</v>
      </c>
      <c r="F913" t="s">
        <v>505</v>
      </c>
      <c r="G913" t="s">
        <v>27</v>
      </c>
      <c r="H913">
        <v>1</v>
      </c>
      <c r="I913">
        <v>0</v>
      </c>
      <c r="J913">
        <v>0</v>
      </c>
      <c r="K913">
        <v>0</v>
      </c>
      <c r="L913">
        <v>0</v>
      </c>
    </row>
    <row r="914" spans="1:12" x14ac:dyDescent="0.35">
      <c r="A914" t="s">
        <v>501</v>
      </c>
      <c r="B914" s="7">
        <v>43752.53502314815</v>
      </c>
      <c r="C914" t="s">
        <v>85</v>
      </c>
      <c r="D914" t="s">
        <v>62</v>
      </c>
      <c r="E914">
        <v>1</v>
      </c>
      <c r="F914" t="s">
        <v>505</v>
      </c>
      <c r="G914" t="s">
        <v>27</v>
      </c>
      <c r="H914">
        <v>0</v>
      </c>
      <c r="I914">
        <v>0</v>
      </c>
      <c r="J914">
        <v>0</v>
      </c>
      <c r="K914">
        <v>1</v>
      </c>
      <c r="L914">
        <v>0</v>
      </c>
    </row>
    <row r="915" spans="1:12" x14ac:dyDescent="0.35">
      <c r="A915" t="s">
        <v>502</v>
      </c>
      <c r="B915" s="7">
        <v>43752.540462962963</v>
      </c>
      <c r="C915" t="s">
        <v>24</v>
      </c>
      <c r="D915" t="s">
        <v>31</v>
      </c>
      <c r="E915">
        <v>1</v>
      </c>
      <c r="F915" t="s">
        <v>505</v>
      </c>
      <c r="G915" t="s">
        <v>27</v>
      </c>
      <c r="H915">
        <v>1</v>
      </c>
      <c r="I915">
        <v>0</v>
      </c>
      <c r="J915">
        <v>0</v>
      </c>
      <c r="K915">
        <v>0</v>
      </c>
      <c r="L915">
        <v>0</v>
      </c>
    </row>
    <row r="916" spans="1:12" x14ac:dyDescent="0.35">
      <c r="A916" t="s">
        <v>503</v>
      </c>
      <c r="B916" s="7">
        <v>43752.540775462963</v>
      </c>
      <c r="C916" t="s">
        <v>24</v>
      </c>
      <c r="D916" t="s">
        <v>136</v>
      </c>
      <c r="E916">
        <v>1</v>
      </c>
      <c r="F916" t="s">
        <v>505</v>
      </c>
      <c r="G916" t="s">
        <v>27</v>
      </c>
      <c r="H916">
        <v>1</v>
      </c>
      <c r="I916">
        <v>0</v>
      </c>
      <c r="J916">
        <v>0</v>
      </c>
      <c r="K916">
        <v>0</v>
      </c>
      <c r="L916">
        <v>0</v>
      </c>
    </row>
    <row r="917" spans="1:12" x14ac:dyDescent="0.35">
      <c r="A917" t="s">
        <v>504</v>
      </c>
      <c r="B917" s="7">
        <v>43752.540868055556</v>
      </c>
      <c r="C917" t="s">
        <v>85</v>
      </c>
      <c r="D917" t="s">
        <v>136</v>
      </c>
      <c r="E917">
        <v>1</v>
      </c>
      <c r="F917" t="s">
        <v>505</v>
      </c>
      <c r="G917" t="s">
        <v>27</v>
      </c>
      <c r="H917">
        <v>0</v>
      </c>
      <c r="I917">
        <v>0</v>
      </c>
      <c r="J917">
        <v>0</v>
      </c>
      <c r="K917">
        <v>1</v>
      </c>
      <c r="L917">
        <v>0</v>
      </c>
    </row>
    <row r="918" spans="1:12" x14ac:dyDescent="0.35">
      <c r="A918" t="s">
        <v>446</v>
      </c>
      <c r="B918" s="7">
        <v>43752.551562499997</v>
      </c>
      <c r="C918" t="s">
        <v>24</v>
      </c>
      <c r="D918" t="s">
        <v>229</v>
      </c>
      <c r="E918">
        <v>1</v>
      </c>
      <c r="F918" t="s">
        <v>230</v>
      </c>
      <c r="G918" t="s">
        <v>231</v>
      </c>
      <c r="H918">
        <v>1</v>
      </c>
      <c r="I918">
        <v>0</v>
      </c>
      <c r="J918">
        <v>0</v>
      </c>
      <c r="K918">
        <v>0</v>
      </c>
      <c r="L918">
        <v>0</v>
      </c>
    </row>
    <row r="919" spans="1:12" x14ac:dyDescent="0.35">
      <c r="A919" t="s">
        <v>446</v>
      </c>
      <c r="B919" s="7">
        <v>43752.551562499997</v>
      </c>
      <c r="C919" t="s">
        <v>24</v>
      </c>
      <c r="D919" t="s">
        <v>235</v>
      </c>
      <c r="E919">
        <v>1</v>
      </c>
      <c r="F919" t="s">
        <v>249</v>
      </c>
      <c r="G919" t="s">
        <v>231</v>
      </c>
      <c r="H919">
        <v>1</v>
      </c>
      <c r="I919">
        <v>0</v>
      </c>
      <c r="J919">
        <v>0</v>
      </c>
      <c r="K919">
        <v>0</v>
      </c>
      <c r="L919">
        <v>0</v>
      </c>
    </row>
    <row r="920" spans="1:12" x14ac:dyDescent="0.35">
      <c r="A920" t="s">
        <v>447</v>
      </c>
      <c r="B920" s="7">
        <v>43752.551562499997</v>
      </c>
      <c r="C920" t="s">
        <v>108</v>
      </c>
      <c r="D920" t="s">
        <v>235</v>
      </c>
      <c r="E920">
        <v>1</v>
      </c>
      <c r="F920" t="s">
        <v>249</v>
      </c>
      <c r="G920" t="s">
        <v>231</v>
      </c>
      <c r="H920">
        <v>0</v>
      </c>
      <c r="I920">
        <v>0</v>
      </c>
      <c r="J920">
        <v>1</v>
      </c>
      <c r="K920">
        <v>0</v>
      </c>
      <c r="L920">
        <v>0</v>
      </c>
    </row>
    <row r="921" spans="1:12" x14ac:dyDescent="0.35">
      <c r="A921" t="s">
        <v>448</v>
      </c>
      <c r="B921" s="7">
        <v>43752.551562499997</v>
      </c>
      <c r="C921" t="s">
        <v>228</v>
      </c>
      <c r="D921" t="s">
        <v>229</v>
      </c>
      <c r="E921">
        <v>1</v>
      </c>
      <c r="F921" t="s">
        <v>236</v>
      </c>
      <c r="G921" t="s">
        <v>237</v>
      </c>
      <c r="H921">
        <v>0</v>
      </c>
      <c r="I921">
        <v>1</v>
      </c>
      <c r="J921">
        <v>0</v>
      </c>
      <c r="K921">
        <v>0</v>
      </c>
      <c r="L921">
        <v>0</v>
      </c>
    </row>
    <row r="922" spans="1:12" x14ac:dyDescent="0.35">
      <c r="A922" t="s">
        <v>446</v>
      </c>
      <c r="B922" s="7">
        <v>43752.551562499997</v>
      </c>
      <c r="C922" t="s">
        <v>24</v>
      </c>
      <c r="D922" t="s">
        <v>229</v>
      </c>
      <c r="E922">
        <v>1</v>
      </c>
      <c r="F922" t="s">
        <v>236</v>
      </c>
      <c r="G922" t="s">
        <v>237</v>
      </c>
      <c r="H922">
        <v>1</v>
      </c>
      <c r="I922">
        <v>0</v>
      </c>
      <c r="J922">
        <v>0</v>
      </c>
      <c r="K922">
        <v>0</v>
      </c>
      <c r="L922">
        <v>0</v>
      </c>
    </row>
    <row r="923" spans="1:12" x14ac:dyDescent="0.35">
      <c r="A923" t="s">
        <v>448</v>
      </c>
      <c r="B923" s="7">
        <v>43752.551562499997</v>
      </c>
      <c r="C923" t="s">
        <v>228</v>
      </c>
      <c r="D923" t="s">
        <v>233</v>
      </c>
      <c r="E923">
        <v>1</v>
      </c>
      <c r="F923" t="s">
        <v>239</v>
      </c>
      <c r="G923" t="s">
        <v>237</v>
      </c>
      <c r="H923">
        <v>0</v>
      </c>
      <c r="I923">
        <v>1</v>
      </c>
      <c r="J923">
        <v>0</v>
      </c>
      <c r="K923">
        <v>0</v>
      </c>
      <c r="L923">
        <v>0</v>
      </c>
    </row>
    <row r="924" spans="1:12" x14ac:dyDescent="0.35">
      <c r="A924" t="s">
        <v>446</v>
      </c>
      <c r="B924" s="7">
        <v>43752.551562499997</v>
      </c>
      <c r="C924" t="s">
        <v>24</v>
      </c>
      <c r="D924" t="s">
        <v>238</v>
      </c>
      <c r="E924">
        <v>1</v>
      </c>
      <c r="F924" t="s">
        <v>240</v>
      </c>
      <c r="G924" t="s">
        <v>237</v>
      </c>
      <c r="H924">
        <v>1</v>
      </c>
      <c r="I924">
        <v>0</v>
      </c>
      <c r="J924">
        <v>0</v>
      </c>
      <c r="K924">
        <v>0</v>
      </c>
      <c r="L924">
        <v>0</v>
      </c>
    </row>
    <row r="925" spans="1:12" x14ac:dyDescent="0.35">
      <c r="A925" t="s">
        <v>446</v>
      </c>
      <c r="B925" s="7">
        <v>43752.551562499997</v>
      </c>
      <c r="C925" t="s">
        <v>24</v>
      </c>
      <c r="D925" t="s">
        <v>233</v>
      </c>
      <c r="E925">
        <v>1</v>
      </c>
      <c r="F925" t="s">
        <v>240</v>
      </c>
      <c r="G925" t="s">
        <v>237</v>
      </c>
      <c r="H925">
        <v>1</v>
      </c>
      <c r="I925">
        <v>0</v>
      </c>
      <c r="J925">
        <v>0</v>
      </c>
      <c r="K925">
        <v>0</v>
      </c>
      <c r="L925">
        <v>0</v>
      </c>
    </row>
    <row r="926" spans="1:12" x14ac:dyDescent="0.35">
      <c r="A926" t="s">
        <v>449</v>
      </c>
      <c r="B926" s="7">
        <v>43752.551562499997</v>
      </c>
      <c r="C926" t="s">
        <v>85</v>
      </c>
      <c r="D926" t="s">
        <v>31</v>
      </c>
      <c r="E926">
        <v>1</v>
      </c>
      <c r="F926" t="s">
        <v>242</v>
      </c>
      <c r="G926" t="s">
        <v>231</v>
      </c>
      <c r="H926">
        <v>0</v>
      </c>
      <c r="I926">
        <v>0</v>
      </c>
      <c r="J926">
        <v>0</v>
      </c>
      <c r="K926">
        <v>1</v>
      </c>
      <c r="L926">
        <v>0</v>
      </c>
    </row>
    <row r="927" spans="1:12" x14ac:dyDescent="0.35">
      <c r="A927" t="s">
        <v>448</v>
      </c>
      <c r="B927" s="7">
        <v>43752.551562499997</v>
      </c>
      <c r="C927" t="s">
        <v>228</v>
      </c>
      <c r="D927" t="s">
        <v>235</v>
      </c>
      <c r="E927">
        <v>1</v>
      </c>
      <c r="F927" t="s">
        <v>242</v>
      </c>
      <c r="G927" t="s">
        <v>231</v>
      </c>
      <c r="H927">
        <v>0</v>
      </c>
      <c r="I927">
        <v>1</v>
      </c>
      <c r="J927">
        <v>0</v>
      </c>
      <c r="K927">
        <v>0</v>
      </c>
      <c r="L927">
        <v>0</v>
      </c>
    </row>
    <row r="928" spans="1:12" x14ac:dyDescent="0.35">
      <c r="A928" t="s">
        <v>450</v>
      </c>
      <c r="B928" s="7">
        <v>43753.551562499997</v>
      </c>
      <c r="C928" t="s">
        <v>24</v>
      </c>
      <c r="D928" t="s">
        <v>229</v>
      </c>
      <c r="E928">
        <v>1</v>
      </c>
      <c r="F928" t="s">
        <v>230</v>
      </c>
      <c r="G928" t="s">
        <v>231</v>
      </c>
      <c r="H928">
        <v>1</v>
      </c>
      <c r="I928">
        <v>0</v>
      </c>
      <c r="J928">
        <v>0</v>
      </c>
      <c r="K928">
        <v>0</v>
      </c>
      <c r="L928">
        <v>0</v>
      </c>
    </row>
    <row r="929" spans="1:12" x14ac:dyDescent="0.35">
      <c r="A929" t="s">
        <v>450</v>
      </c>
      <c r="B929" s="7">
        <v>43753.551562499997</v>
      </c>
      <c r="C929" t="s">
        <v>24</v>
      </c>
      <c r="D929" t="s">
        <v>238</v>
      </c>
      <c r="E929">
        <v>1</v>
      </c>
      <c r="F929" t="s">
        <v>230</v>
      </c>
      <c r="G929" t="s">
        <v>231</v>
      </c>
      <c r="H929">
        <v>1</v>
      </c>
      <c r="I929">
        <v>0</v>
      </c>
      <c r="J929">
        <v>0</v>
      </c>
      <c r="K929">
        <v>0</v>
      </c>
      <c r="L929">
        <v>0</v>
      </c>
    </row>
    <row r="930" spans="1:12" x14ac:dyDescent="0.35">
      <c r="A930" t="s">
        <v>451</v>
      </c>
      <c r="B930" s="7">
        <v>43753.551562499997</v>
      </c>
      <c r="C930" t="s">
        <v>85</v>
      </c>
      <c r="D930" t="s">
        <v>238</v>
      </c>
      <c r="E930">
        <v>1</v>
      </c>
      <c r="F930" t="s">
        <v>230</v>
      </c>
      <c r="G930" t="s">
        <v>231</v>
      </c>
      <c r="H930">
        <v>0</v>
      </c>
      <c r="I930">
        <v>0</v>
      </c>
      <c r="J930">
        <v>0</v>
      </c>
      <c r="K930">
        <v>1</v>
      </c>
      <c r="L930">
        <v>0</v>
      </c>
    </row>
    <row r="931" spans="1:12" x14ac:dyDescent="0.35">
      <c r="A931" t="s">
        <v>452</v>
      </c>
      <c r="B931" s="7">
        <v>43753.551562499997</v>
      </c>
      <c r="C931" t="s">
        <v>108</v>
      </c>
      <c r="D931" t="s">
        <v>229</v>
      </c>
      <c r="E931">
        <v>1</v>
      </c>
      <c r="F931" t="s">
        <v>249</v>
      </c>
      <c r="G931" t="s">
        <v>231</v>
      </c>
      <c r="H931">
        <v>0</v>
      </c>
      <c r="I931">
        <v>0</v>
      </c>
      <c r="J931">
        <v>1</v>
      </c>
      <c r="K931">
        <v>0</v>
      </c>
      <c r="L931">
        <v>0</v>
      </c>
    </row>
    <row r="932" spans="1:12" x14ac:dyDescent="0.35">
      <c r="A932" t="s">
        <v>450</v>
      </c>
      <c r="B932" s="7">
        <v>43753.551562499997</v>
      </c>
      <c r="C932" t="s">
        <v>24</v>
      </c>
      <c r="D932" t="s">
        <v>233</v>
      </c>
      <c r="E932">
        <v>1</v>
      </c>
      <c r="F932" t="s">
        <v>249</v>
      </c>
      <c r="G932" t="s">
        <v>231</v>
      </c>
      <c r="H932">
        <v>1</v>
      </c>
      <c r="I932">
        <v>0</v>
      </c>
      <c r="J932">
        <v>0</v>
      </c>
      <c r="K932">
        <v>0</v>
      </c>
      <c r="L932">
        <v>0</v>
      </c>
    </row>
    <row r="933" spans="1:12" x14ac:dyDescent="0.35">
      <c r="A933" t="s">
        <v>451</v>
      </c>
      <c r="B933" s="7">
        <v>43753.551562499997</v>
      </c>
      <c r="C933" t="s">
        <v>85</v>
      </c>
      <c r="D933" t="s">
        <v>233</v>
      </c>
      <c r="E933">
        <v>1</v>
      </c>
      <c r="F933" t="s">
        <v>249</v>
      </c>
      <c r="G933" t="s">
        <v>231</v>
      </c>
      <c r="H933">
        <v>0</v>
      </c>
      <c r="I933">
        <v>0</v>
      </c>
      <c r="J933">
        <v>0</v>
      </c>
      <c r="K933">
        <v>1</v>
      </c>
      <c r="L933">
        <v>0</v>
      </c>
    </row>
    <row r="934" spans="1:12" x14ac:dyDescent="0.35">
      <c r="A934" t="s">
        <v>450</v>
      </c>
      <c r="B934" s="7">
        <v>43753.551562499997</v>
      </c>
      <c r="C934" t="s">
        <v>24</v>
      </c>
      <c r="D934" t="s">
        <v>238</v>
      </c>
      <c r="E934">
        <v>1</v>
      </c>
      <c r="F934" t="s">
        <v>249</v>
      </c>
      <c r="G934" t="s">
        <v>231</v>
      </c>
      <c r="H934">
        <v>1</v>
      </c>
      <c r="I934">
        <v>0</v>
      </c>
      <c r="J934">
        <v>0</v>
      </c>
      <c r="K934">
        <v>0</v>
      </c>
      <c r="L934">
        <v>0</v>
      </c>
    </row>
    <row r="935" spans="1:12" x14ac:dyDescent="0.35">
      <c r="A935" t="s">
        <v>450</v>
      </c>
      <c r="B935" s="7">
        <v>43753.551562499997</v>
      </c>
      <c r="C935" t="s">
        <v>24</v>
      </c>
      <c r="D935" t="s">
        <v>233</v>
      </c>
      <c r="E935">
        <v>1</v>
      </c>
      <c r="F935" t="s">
        <v>236</v>
      </c>
      <c r="G935" t="s">
        <v>237</v>
      </c>
      <c r="H935">
        <v>1</v>
      </c>
      <c r="I935">
        <v>0</v>
      </c>
      <c r="J935">
        <v>0</v>
      </c>
      <c r="K935">
        <v>0</v>
      </c>
      <c r="L935">
        <v>0</v>
      </c>
    </row>
    <row r="936" spans="1:12" x14ac:dyDescent="0.35">
      <c r="A936" t="s">
        <v>450</v>
      </c>
      <c r="B936" s="7">
        <v>43753.551562499997</v>
      </c>
      <c r="C936" t="s">
        <v>24</v>
      </c>
      <c r="D936" t="s">
        <v>233</v>
      </c>
      <c r="E936">
        <v>1</v>
      </c>
      <c r="F936" t="s">
        <v>236</v>
      </c>
      <c r="G936" t="s">
        <v>237</v>
      </c>
      <c r="H936">
        <v>1</v>
      </c>
      <c r="I936">
        <v>0</v>
      </c>
      <c r="J936">
        <v>0</v>
      </c>
      <c r="K936">
        <v>0</v>
      </c>
      <c r="L936">
        <v>0</v>
      </c>
    </row>
    <row r="937" spans="1:12" x14ac:dyDescent="0.35">
      <c r="A937" t="s">
        <v>450</v>
      </c>
      <c r="B937" s="7">
        <v>43753.551562499997</v>
      </c>
      <c r="C937" t="s">
        <v>24</v>
      </c>
      <c r="D937" t="s">
        <v>235</v>
      </c>
      <c r="E937">
        <v>1</v>
      </c>
      <c r="F937" t="s">
        <v>239</v>
      </c>
      <c r="G937" t="s">
        <v>237</v>
      </c>
      <c r="H937">
        <v>1</v>
      </c>
      <c r="I937">
        <v>0</v>
      </c>
      <c r="J937">
        <v>0</v>
      </c>
      <c r="K937">
        <v>0</v>
      </c>
      <c r="L937">
        <v>0</v>
      </c>
    </row>
    <row r="938" spans="1:12" x14ac:dyDescent="0.35">
      <c r="A938" t="s">
        <v>450</v>
      </c>
      <c r="B938" s="7">
        <v>43753.551562499997</v>
      </c>
      <c r="C938" t="s">
        <v>24</v>
      </c>
      <c r="D938" t="s">
        <v>233</v>
      </c>
      <c r="E938">
        <v>1</v>
      </c>
      <c r="F938" t="s">
        <v>239</v>
      </c>
      <c r="G938" t="s">
        <v>237</v>
      </c>
      <c r="H938">
        <v>1</v>
      </c>
      <c r="I938">
        <v>0</v>
      </c>
      <c r="J938">
        <v>0</v>
      </c>
      <c r="K938">
        <v>0</v>
      </c>
      <c r="L938">
        <v>0</v>
      </c>
    </row>
    <row r="939" spans="1:12" x14ac:dyDescent="0.35">
      <c r="A939" t="s">
        <v>450</v>
      </c>
      <c r="B939" s="7">
        <v>43753.551562499997</v>
      </c>
      <c r="C939" t="s">
        <v>24</v>
      </c>
      <c r="D939" t="s">
        <v>238</v>
      </c>
      <c r="E939">
        <v>1</v>
      </c>
      <c r="F939" t="s">
        <v>239</v>
      </c>
      <c r="G939" t="s">
        <v>237</v>
      </c>
      <c r="H939">
        <v>1</v>
      </c>
      <c r="I939">
        <v>0</v>
      </c>
      <c r="J939">
        <v>0</v>
      </c>
      <c r="K939">
        <v>0</v>
      </c>
      <c r="L939">
        <v>0</v>
      </c>
    </row>
    <row r="940" spans="1:12" x14ac:dyDescent="0.35">
      <c r="A940" t="s">
        <v>452</v>
      </c>
      <c r="B940" s="7">
        <v>43753.551562499997</v>
      </c>
      <c r="C940" t="s">
        <v>108</v>
      </c>
      <c r="D940" t="s">
        <v>235</v>
      </c>
      <c r="E940">
        <v>1</v>
      </c>
      <c r="F940" t="s">
        <v>240</v>
      </c>
      <c r="G940" t="s">
        <v>237</v>
      </c>
      <c r="H940">
        <v>0</v>
      </c>
      <c r="I940">
        <v>0</v>
      </c>
      <c r="J940">
        <v>1</v>
      </c>
      <c r="K940">
        <v>0</v>
      </c>
      <c r="L940">
        <v>0</v>
      </c>
    </row>
    <row r="941" spans="1:12" x14ac:dyDescent="0.35">
      <c r="A941" t="s">
        <v>451</v>
      </c>
      <c r="B941" s="7">
        <v>43753.551562499997</v>
      </c>
      <c r="C941" t="s">
        <v>85</v>
      </c>
      <c r="D941" t="s">
        <v>233</v>
      </c>
      <c r="E941">
        <v>1</v>
      </c>
      <c r="F941" t="s">
        <v>242</v>
      </c>
      <c r="G941" t="s">
        <v>231</v>
      </c>
      <c r="H941">
        <v>0</v>
      </c>
      <c r="I941">
        <v>0</v>
      </c>
      <c r="J941">
        <v>0</v>
      </c>
      <c r="K941">
        <v>1</v>
      </c>
      <c r="L941">
        <v>0</v>
      </c>
    </row>
    <row r="942" spans="1:12" x14ac:dyDescent="0.35">
      <c r="A942" t="s">
        <v>453</v>
      </c>
      <c r="B942" s="7">
        <v>43754.551562499997</v>
      </c>
      <c r="C942" t="s">
        <v>108</v>
      </c>
      <c r="D942" t="s">
        <v>233</v>
      </c>
      <c r="E942">
        <v>1</v>
      </c>
      <c r="F942" t="s">
        <v>230</v>
      </c>
      <c r="G942" t="s">
        <v>231</v>
      </c>
      <c r="H942">
        <v>0</v>
      </c>
      <c r="I942">
        <v>0</v>
      </c>
      <c r="J942">
        <v>1</v>
      </c>
      <c r="K942">
        <v>0</v>
      </c>
      <c r="L942">
        <v>0</v>
      </c>
    </row>
    <row r="943" spans="1:12" x14ac:dyDescent="0.35">
      <c r="A943" t="s">
        <v>454</v>
      </c>
      <c r="B943" s="7">
        <v>43754.551562499997</v>
      </c>
      <c r="C943" t="s">
        <v>24</v>
      </c>
      <c r="D943" t="s">
        <v>235</v>
      </c>
      <c r="E943">
        <v>1</v>
      </c>
      <c r="F943" t="s">
        <v>249</v>
      </c>
      <c r="G943" t="s">
        <v>231</v>
      </c>
      <c r="H943">
        <v>1</v>
      </c>
      <c r="I943">
        <v>0</v>
      </c>
      <c r="J943">
        <v>0</v>
      </c>
      <c r="K943">
        <v>0</v>
      </c>
      <c r="L943">
        <v>0</v>
      </c>
    </row>
    <row r="944" spans="1:12" x14ac:dyDescent="0.35">
      <c r="A944" t="s">
        <v>454</v>
      </c>
      <c r="B944" s="7">
        <v>43754.551562499997</v>
      </c>
      <c r="C944" t="s">
        <v>24</v>
      </c>
      <c r="D944" t="s">
        <v>233</v>
      </c>
      <c r="E944">
        <v>1</v>
      </c>
      <c r="F944" t="s">
        <v>236</v>
      </c>
      <c r="G944" t="s">
        <v>237</v>
      </c>
      <c r="H944">
        <v>1</v>
      </c>
      <c r="I944">
        <v>0</v>
      </c>
      <c r="J944">
        <v>0</v>
      </c>
      <c r="K944">
        <v>0</v>
      </c>
      <c r="L944">
        <v>0</v>
      </c>
    </row>
    <row r="945" spans="1:12" x14ac:dyDescent="0.35">
      <c r="A945" t="s">
        <v>454</v>
      </c>
      <c r="B945" s="7">
        <v>43754.551562499997</v>
      </c>
      <c r="C945" t="s">
        <v>24</v>
      </c>
      <c r="D945" t="s">
        <v>31</v>
      </c>
      <c r="E945">
        <v>1</v>
      </c>
      <c r="F945" t="s">
        <v>236</v>
      </c>
      <c r="G945" t="s">
        <v>237</v>
      </c>
      <c r="H945">
        <v>1</v>
      </c>
      <c r="I945">
        <v>0</v>
      </c>
      <c r="J945">
        <v>0</v>
      </c>
      <c r="K945">
        <v>0</v>
      </c>
      <c r="L945">
        <v>0</v>
      </c>
    </row>
    <row r="946" spans="1:12" x14ac:dyDescent="0.35">
      <c r="A946" t="s">
        <v>455</v>
      </c>
      <c r="B946" s="7">
        <v>43754.551562499997</v>
      </c>
      <c r="C946" t="s">
        <v>228</v>
      </c>
      <c r="D946" t="s">
        <v>229</v>
      </c>
      <c r="E946">
        <v>1</v>
      </c>
      <c r="F946" t="s">
        <v>239</v>
      </c>
      <c r="G946" t="s">
        <v>237</v>
      </c>
      <c r="H946">
        <v>0</v>
      </c>
      <c r="I946">
        <v>1</v>
      </c>
      <c r="J946">
        <v>0</v>
      </c>
      <c r="K946">
        <v>0</v>
      </c>
      <c r="L946">
        <v>0</v>
      </c>
    </row>
    <row r="947" spans="1:12" x14ac:dyDescent="0.35">
      <c r="A947" t="s">
        <v>454</v>
      </c>
      <c r="B947" s="7">
        <v>43754.551562499997</v>
      </c>
      <c r="C947" t="s">
        <v>24</v>
      </c>
      <c r="D947" t="s">
        <v>235</v>
      </c>
      <c r="E947">
        <v>1</v>
      </c>
      <c r="F947" t="s">
        <v>239</v>
      </c>
      <c r="G947" t="s">
        <v>237</v>
      </c>
      <c r="H947">
        <v>1</v>
      </c>
      <c r="I947">
        <v>0</v>
      </c>
      <c r="J947">
        <v>0</v>
      </c>
      <c r="K947">
        <v>0</v>
      </c>
      <c r="L947">
        <v>0</v>
      </c>
    </row>
    <row r="948" spans="1:12" x14ac:dyDescent="0.35">
      <c r="A948" t="s">
        <v>454</v>
      </c>
      <c r="B948" s="7">
        <v>43754.551562499997</v>
      </c>
      <c r="C948" t="s">
        <v>24</v>
      </c>
      <c r="D948" t="s">
        <v>31</v>
      </c>
      <c r="E948">
        <v>1</v>
      </c>
      <c r="F948" t="s">
        <v>239</v>
      </c>
      <c r="G948" t="s">
        <v>237</v>
      </c>
      <c r="H948">
        <v>1</v>
      </c>
      <c r="I948">
        <v>0</v>
      </c>
      <c r="J948">
        <v>0</v>
      </c>
      <c r="K948">
        <v>0</v>
      </c>
      <c r="L948">
        <v>0</v>
      </c>
    </row>
    <row r="949" spans="1:12" x14ac:dyDescent="0.35">
      <c r="A949" t="s">
        <v>454</v>
      </c>
      <c r="B949" s="7">
        <v>43754.551562499997</v>
      </c>
      <c r="C949" t="s">
        <v>24</v>
      </c>
      <c r="D949" t="s">
        <v>34</v>
      </c>
      <c r="E949">
        <v>1</v>
      </c>
      <c r="F949" t="s">
        <v>240</v>
      </c>
      <c r="G949" t="s">
        <v>237</v>
      </c>
      <c r="H949">
        <v>1</v>
      </c>
      <c r="I949">
        <v>0</v>
      </c>
      <c r="J949">
        <v>0</v>
      </c>
      <c r="K949">
        <v>0</v>
      </c>
      <c r="L949">
        <v>0</v>
      </c>
    </row>
    <row r="950" spans="1:12" x14ac:dyDescent="0.35">
      <c r="A950" t="s">
        <v>454</v>
      </c>
      <c r="B950" s="7">
        <v>43754.551562499997</v>
      </c>
      <c r="C950" t="s">
        <v>24</v>
      </c>
      <c r="D950" t="s">
        <v>238</v>
      </c>
      <c r="E950">
        <v>1</v>
      </c>
      <c r="F950" t="s">
        <v>240</v>
      </c>
      <c r="G950" t="s">
        <v>237</v>
      </c>
      <c r="H950">
        <v>1</v>
      </c>
      <c r="I950">
        <v>0</v>
      </c>
      <c r="J950">
        <v>0</v>
      </c>
      <c r="K950">
        <v>0</v>
      </c>
      <c r="L950">
        <v>0</v>
      </c>
    </row>
    <row r="951" spans="1:12" x14ac:dyDescent="0.35">
      <c r="A951" t="s">
        <v>454</v>
      </c>
      <c r="B951" s="7">
        <v>43754.551562499997</v>
      </c>
      <c r="C951" t="s">
        <v>24</v>
      </c>
      <c r="D951" t="s">
        <v>238</v>
      </c>
      <c r="E951">
        <v>1</v>
      </c>
      <c r="F951" t="s">
        <v>240</v>
      </c>
      <c r="G951" t="s">
        <v>237</v>
      </c>
      <c r="H951">
        <v>1</v>
      </c>
      <c r="I951">
        <v>0</v>
      </c>
      <c r="J951">
        <v>0</v>
      </c>
      <c r="K951">
        <v>0</v>
      </c>
      <c r="L951">
        <v>0</v>
      </c>
    </row>
    <row r="952" spans="1:12" x14ac:dyDescent="0.35">
      <c r="A952" t="s">
        <v>455</v>
      </c>
      <c r="B952" s="7">
        <v>43754.551562499997</v>
      </c>
      <c r="C952" t="s">
        <v>228</v>
      </c>
      <c r="D952" t="s">
        <v>31</v>
      </c>
      <c r="E952">
        <v>1</v>
      </c>
      <c r="F952" t="s">
        <v>242</v>
      </c>
      <c r="G952" t="s">
        <v>231</v>
      </c>
      <c r="H952">
        <v>0</v>
      </c>
      <c r="I952">
        <v>1</v>
      </c>
      <c r="J952">
        <v>0</v>
      </c>
      <c r="K952">
        <v>0</v>
      </c>
      <c r="L952">
        <v>0</v>
      </c>
    </row>
    <row r="953" spans="1:12" x14ac:dyDescent="0.35">
      <c r="A953" t="s">
        <v>456</v>
      </c>
      <c r="B953" s="7">
        <v>43755.551562499997</v>
      </c>
      <c r="C953" t="s">
        <v>24</v>
      </c>
      <c r="D953" t="s">
        <v>229</v>
      </c>
      <c r="E953">
        <v>1</v>
      </c>
      <c r="F953" t="s">
        <v>230</v>
      </c>
      <c r="G953" t="s">
        <v>231</v>
      </c>
      <c r="H953">
        <v>1</v>
      </c>
      <c r="I953">
        <v>0</v>
      </c>
      <c r="J953">
        <v>0</v>
      </c>
      <c r="K953">
        <v>0</v>
      </c>
      <c r="L953">
        <v>0</v>
      </c>
    </row>
    <row r="954" spans="1:12" x14ac:dyDescent="0.35">
      <c r="A954" t="s">
        <v>457</v>
      </c>
      <c r="B954" s="7">
        <v>43755.551562499997</v>
      </c>
      <c r="C954" t="s">
        <v>108</v>
      </c>
      <c r="D954" t="s">
        <v>235</v>
      </c>
      <c r="E954">
        <v>1</v>
      </c>
      <c r="F954" t="s">
        <v>230</v>
      </c>
      <c r="G954" t="s">
        <v>231</v>
      </c>
      <c r="H954">
        <v>0</v>
      </c>
      <c r="I954">
        <v>0</v>
      </c>
      <c r="J954">
        <v>1</v>
      </c>
      <c r="K954">
        <v>0</v>
      </c>
      <c r="L954">
        <v>0</v>
      </c>
    </row>
    <row r="955" spans="1:12" x14ac:dyDescent="0.35">
      <c r="A955" t="s">
        <v>456</v>
      </c>
      <c r="B955" s="7">
        <v>43755.551562499997</v>
      </c>
      <c r="C955" t="s">
        <v>24</v>
      </c>
      <c r="D955" t="s">
        <v>238</v>
      </c>
      <c r="E955">
        <v>1</v>
      </c>
      <c r="F955" t="s">
        <v>249</v>
      </c>
      <c r="G955" t="s">
        <v>231</v>
      </c>
      <c r="H955">
        <v>1</v>
      </c>
      <c r="I955">
        <v>0</v>
      </c>
      <c r="J955">
        <v>0</v>
      </c>
      <c r="K955">
        <v>0</v>
      </c>
      <c r="L955">
        <v>0</v>
      </c>
    </row>
    <row r="956" spans="1:12" x14ac:dyDescent="0.35">
      <c r="A956" t="s">
        <v>458</v>
      </c>
      <c r="B956" s="7">
        <v>43755.551562499997</v>
      </c>
      <c r="C956" t="s">
        <v>85</v>
      </c>
      <c r="D956" t="s">
        <v>233</v>
      </c>
      <c r="E956">
        <v>1</v>
      </c>
      <c r="F956" t="s">
        <v>249</v>
      </c>
      <c r="G956" t="s">
        <v>231</v>
      </c>
      <c r="H956">
        <v>0</v>
      </c>
      <c r="I956">
        <v>0</v>
      </c>
      <c r="J956">
        <v>0</v>
      </c>
      <c r="K956">
        <v>1</v>
      </c>
      <c r="L956">
        <v>0</v>
      </c>
    </row>
    <row r="957" spans="1:12" x14ac:dyDescent="0.35">
      <c r="A957" t="s">
        <v>457</v>
      </c>
      <c r="B957" s="7">
        <v>43755.551562499997</v>
      </c>
      <c r="C957" t="s">
        <v>108</v>
      </c>
      <c r="D957" t="s">
        <v>34</v>
      </c>
      <c r="E957">
        <v>1</v>
      </c>
      <c r="F957" t="s">
        <v>249</v>
      </c>
      <c r="G957" t="s">
        <v>231</v>
      </c>
      <c r="H957">
        <v>0</v>
      </c>
      <c r="I957">
        <v>0</v>
      </c>
      <c r="J957">
        <v>1</v>
      </c>
      <c r="K957">
        <v>0</v>
      </c>
      <c r="L957">
        <v>0</v>
      </c>
    </row>
    <row r="958" spans="1:12" x14ac:dyDescent="0.35">
      <c r="A958" t="s">
        <v>458</v>
      </c>
      <c r="B958" s="7">
        <v>43755.551562499997</v>
      </c>
      <c r="C958" t="s">
        <v>85</v>
      </c>
      <c r="D958" t="s">
        <v>233</v>
      </c>
      <c r="E958">
        <v>1</v>
      </c>
      <c r="F958" t="s">
        <v>249</v>
      </c>
      <c r="G958" t="s">
        <v>231</v>
      </c>
      <c r="H958">
        <v>0</v>
      </c>
      <c r="I958">
        <v>0</v>
      </c>
      <c r="J958">
        <v>0</v>
      </c>
      <c r="K958">
        <v>1</v>
      </c>
      <c r="L958">
        <v>0</v>
      </c>
    </row>
    <row r="959" spans="1:12" x14ac:dyDescent="0.35">
      <c r="A959" t="s">
        <v>459</v>
      </c>
      <c r="B959" s="7">
        <v>43755.551562499997</v>
      </c>
      <c r="C959" t="s">
        <v>228</v>
      </c>
      <c r="D959" t="s">
        <v>238</v>
      </c>
      <c r="E959">
        <v>1</v>
      </c>
      <c r="F959" t="s">
        <v>236</v>
      </c>
      <c r="G959" t="s">
        <v>237</v>
      </c>
      <c r="H959">
        <v>0</v>
      </c>
      <c r="I959">
        <v>1</v>
      </c>
      <c r="J959">
        <v>0</v>
      </c>
      <c r="K959">
        <v>0</v>
      </c>
      <c r="L959">
        <v>0</v>
      </c>
    </row>
    <row r="960" spans="1:12" x14ac:dyDescent="0.35">
      <c r="A960" t="s">
        <v>457</v>
      </c>
      <c r="B960" s="7">
        <v>43755.551562499997</v>
      </c>
      <c r="C960" t="s">
        <v>108</v>
      </c>
      <c r="D960" t="s">
        <v>229</v>
      </c>
      <c r="E960">
        <v>1</v>
      </c>
      <c r="F960" t="s">
        <v>236</v>
      </c>
      <c r="G960" t="s">
        <v>237</v>
      </c>
      <c r="H960">
        <v>0</v>
      </c>
      <c r="I960">
        <v>0</v>
      </c>
      <c r="J960">
        <v>1</v>
      </c>
      <c r="K960">
        <v>0</v>
      </c>
      <c r="L960">
        <v>0</v>
      </c>
    </row>
    <row r="961" spans="1:12" x14ac:dyDescent="0.35">
      <c r="A961" t="s">
        <v>456</v>
      </c>
      <c r="B961" s="7">
        <v>43755.551562499997</v>
      </c>
      <c r="C961" t="s">
        <v>24</v>
      </c>
      <c r="D961" t="s">
        <v>31</v>
      </c>
      <c r="E961">
        <v>1</v>
      </c>
      <c r="F961" t="s">
        <v>236</v>
      </c>
      <c r="G961" t="s">
        <v>237</v>
      </c>
      <c r="H961">
        <v>1</v>
      </c>
      <c r="I961">
        <v>0</v>
      </c>
      <c r="J961">
        <v>0</v>
      </c>
      <c r="K961">
        <v>0</v>
      </c>
      <c r="L961">
        <v>0</v>
      </c>
    </row>
    <row r="962" spans="1:12" x14ac:dyDescent="0.35">
      <c r="A962" t="s">
        <v>456</v>
      </c>
      <c r="B962" s="7">
        <v>43755.551562499997</v>
      </c>
      <c r="C962" t="s">
        <v>24</v>
      </c>
      <c r="D962" t="s">
        <v>233</v>
      </c>
      <c r="E962">
        <v>1</v>
      </c>
      <c r="F962" t="s">
        <v>240</v>
      </c>
      <c r="G962" t="s">
        <v>237</v>
      </c>
      <c r="H962">
        <v>1</v>
      </c>
      <c r="I962">
        <v>0</v>
      </c>
      <c r="J962">
        <v>0</v>
      </c>
      <c r="K962">
        <v>0</v>
      </c>
      <c r="L962">
        <v>0</v>
      </c>
    </row>
    <row r="963" spans="1:12" x14ac:dyDescent="0.35">
      <c r="A963" t="s">
        <v>460</v>
      </c>
      <c r="B963" s="7">
        <v>43756.551562499997</v>
      </c>
      <c r="C963" t="s">
        <v>24</v>
      </c>
      <c r="D963" t="s">
        <v>233</v>
      </c>
      <c r="E963">
        <v>1</v>
      </c>
      <c r="F963" t="s">
        <v>230</v>
      </c>
      <c r="G963" t="s">
        <v>231</v>
      </c>
      <c r="H963">
        <v>1</v>
      </c>
      <c r="I963">
        <v>0</v>
      </c>
      <c r="J963">
        <v>0</v>
      </c>
      <c r="K963">
        <v>0</v>
      </c>
      <c r="L963">
        <v>0</v>
      </c>
    </row>
    <row r="964" spans="1:12" x14ac:dyDescent="0.35">
      <c r="A964" t="s">
        <v>460</v>
      </c>
      <c r="B964" s="7">
        <v>43756.551562499997</v>
      </c>
      <c r="C964" t="s">
        <v>24</v>
      </c>
      <c r="D964" t="s">
        <v>34</v>
      </c>
      <c r="E964">
        <v>1</v>
      </c>
      <c r="F964" t="s">
        <v>249</v>
      </c>
      <c r="G964" t="s">
        <v>231</v>
      </c>
      <c r="H964">
        <v>1</v>
      </c>
      <c r="I964">
        <v>0</v>
      </c>
      <c r="J964">
        <v>0</v>
      </c>
      <c r="K964">
        <v>0</v>
      </c>
      <c r="L964">
        <v>0</v>
      </c>
    </row>
    <row r="965" spans="1:12" x14ac:dyDescent="0.35">
      <c r="A965" t="s">
        <v>461</v>
      </c>
      <c r="B965" s="7">
        <v>43756.551562499997</v>
      </c>
      <c r="C965" t="s">
        <v>228</v>
      </c>
      <c r="D965" t="s">
        <v>238</v>
      </c>
      <c r="E965">
        <v>1</v>
      </c>
      <c r="F965" t="s">
        <v>249</v>
      </c>
      <c r="G965" t="s">
        <v>231</v>
      </c>
      <c r="H965">
        <v>0</v>
      </c>
      <c r="I965">
        <v>1</v>
      </c>
      <c r="J965">
        <v>0</v>
      </c>
      <c r="K965">
        <v>0</v>
      </c>
      <c r="L965">
        <v>0</v>
      </c>
    </row>
    <row r="966" spans="1:12" x14ac:dyDescent="0.35">
      <c r="A966" t="s">
        <v>460</v>
      </c>
      <c r="B966" s="7">
        <v>43756.551562499997</v>
      </c>
      <c r="C966" t="s">
        <v>24</v>
      </c>
      <c r="D966" t="s">
        <v>34</v>
      </c>
      <c r="E966">
        <v>1</v>
      </c>
      <c r="F966" t="s">
        <v>249</v>
      </c>
      <c r="G966" t="s">
        <v>231</v>
      </c>
      <c r="H966">
        <v>1</v>
      </c>
      <c r="I966">
        <v>0</v>
      </c>
      <c r="J966">
        <v>0</v>
      </c>
      <c r="K966">
        <v>0</v>
      </c>
      <c r="L966">
        <v>0</v>
      </c>
    </row>
    <row r="967" spans="1:12" x14ac:dyDescent="0.35">
      <c r="A967" t="s">
        <v>460</v>
      </c>
      <c r="B967" s="7">
        <v>43756.551562499997</v>
      </c>
      <c r="C967" t="s">
        <v>24</v>
      </c>
      <c r="D967" t="s">
        <v>31</v>
      </c>
      <c r="E967">
        <v>1</v>
      </c>
      <c r="F967" t="s">
        <v>236</v>
      </c>
      <c r="G967" t="s">
        <v>237</v>
      </c>
      <c r="H967">
        <v>1</v>
      </c>
      <c r="I967">
        <v>0</v>
      </c>
      <c r="J967">
        <v>0</v>
      </c>
      <c r="K967">
        <v>0</v>
      </c>
      <c r="L967">
        <v>0</v>
      </c>
    </row>
    <row r="968" spans="1:12" x14ac:dyDescent="0.35">
      <c r="A968" t="s">
        <v>460</v>
      </c>
      <c r="B968" s="7">
        <v>43756.551562499997</v>
      </c>
      <c r="C968" t="s">
        <v>24</v>
      </c>
      <c r="D968" t="s">
        <v>31</v>
      </c>
      <c r="E968">
        <v>1</v>
      </c>
      <c r="F968" t="s">
        <v>240</v>
      </c>
      <c r="G968" t="s">
        <v>237</v>
      </c>
      <c r="H968">
        <v>1</v>
      </c>
      <c r="I968">
        <v>0</v>
      </c>
      <c r="J968">
        <v>0</v>
      </c>
      <c r="K968">
        <v>0</v>
      </c>
      <c r="L968">
        <v>0</v>
      </c>
    </row>
    <row r="969" spans="1:12" x14ac:dyDescent="0.35">
      <c r="A969" t="s">
        <v>460</v>
      </c>
      <c r="B969" s="7">
        <v>43756.551562499997</v>
      </c>
      <c r="C969" t="s">
        <v>24</v>
      </c>
      <c r="D969" t="s">
        <v>229</v>
      </c>
      <c r="E969">
        <v>1</v>
      </c>
      <c r="F969" t="s">
        <v>240</v>
      </c>
      <c r="G969" t="s">
        <v>237</v>
      </c>
      <c r="H969">
        <v>1</v>
      </c>
      <c r="I969">
        <v>0</v>
      </c>
      <c r="J969">
        <v>0</v>
      </c>
      <c r="K969">
        <v>0</v>
      </c>
      <c r="L969">
        <v>0</v>
      </c>
    </row>
    <row r="970" spans="1:12" x14ac:dyDescent="0.35">
      <c r="A970" t="s">
        <v>460</v>
      </c>
      <c r="B970" s="7">
        <v>43756.551562499997</v>
      </c>
      <c r="C970" t="s">
        <v>24</v>
      </c>
      <c r="D970" t="s">
        <v>233</v>
      </c>
      <c r="E970">
        <v>1</v>
      </c>
      <c r="F970" t="s">
        <v>240</v>
      </c>
      <c r="G970" t="s">
        <v>237</v>
      </c>
      <c r="H970">
        <v>1</v>
      </c>
      <c r="I970">
        <v>0</v>
      </c>
      <c r="J970">
        <v>0</v>
      </c>
      <c r="K970">
        <v>0</v>
      </c>
      <c r="L970">
        <v>0</v>
      </c>
    </row>
    <row r="971" spans="1:12" x14ac:dyDescent="0.35">
      <c r="A971" t="s">
        <v>460</v>
      </c>
      <c r="B971" s="7">
        <v>43756.551562499997</v>
      </c>
      <c r="C971" t="s">
        <v>24</v>
      </c>
      <c r="D971" t="s">
        <v>31</v>
      </c>
      <c r="E971">
        <v>1</v>
      </c>
      <c r="F971" t="s">
        <v>242</v>
      </c>
      <c r="G971" t="s">
        <v>231</v>
      </c>
      <c r="H971">
        <v>1</v>
      </c>
      <c r="I971">
        <v>0</v>
      </c>
      <c r="J971">
        <v>0</v>
      </c>
      <c r="K971">
        <v>0</v>
      </c>
      <c r="L971">
        <v>0</v>
      </c>
    </row>
    <row r="972" spans="1:12" x14ac:dyDescent="0.35">
      <c r="A972" t="s">
        <v>462</v>
      </c>
      <c r="B972" s="7">
        <v>43757.551562499997</v>
      </c>
      <c r="C972" t="s">
        <v>24</v>
      </c>
      <c r="D972" t="s">
        <v>229</v>
      </c>
      <c r="E972">
        <v>1</v>
      </c>
      <c r="F972" t="s">
        <v>230</v>
      </c>
      <c r="G972" t="s">
        <v>231</v>
      </c>
      <c r="H972">
        <v>1</v>
      </c>
      <c r="I972">
        <v>0</v>
      </c>
      <c r="J972">
        <v>0</v>
      </c>
      <c r="K972">
        <v>0</v>
      </c>
      <c r="L972">
        <v>0</v>
      </c>
    </row>
    <row r="973" spans="1:12" x14ac:dyDescent="0.35">
      <c r="A973" t="s">
        <v>462</v>
      </c>
      <c r="B973" s="7">
        <v>43757.551562499997</v>
      </c>
      <c r="C973" t="s">
        <v>24</v>
      </c>
      <c r="D973" t="s">
        <v>238</v>
      </c>
      <c r="E973">
        <v>1</v>
      </c>
      <c r="F973" t="s">
        <v>249</v>
      </c>
      <c r="G973" t="s">
        <v>231</v>
      </c>
      <c r="H973">
        <v>1</v>
      </c>
      <c r="I973">
        <v>0</v>
      </c>
      <c r="J973">
        <v>0</v>
      </c>
      <c r="K973">
        <v>0</v>
      </c>
      <c r="L973">
        <v>0</v>
      </c>
    </row>
    <row r="974" spans="1:12" x14ac:dyDescent="0.35">
      <c r="A974" t="s">
        <v>463</v>
      </c>
      <c r="B974" s="7">
        <v>43757.551562499997</v>
      </c>
      <c r="C974" t="s">
        <v>228</v>
      </c>
      <c r="D974" t="s">
        <v>233</v>
      </c>
      <c r="E974">
        <v>1</v>
      </c>
      <c r="F974" t="s">
        <v>236</v>
      </c>
      <c r="G974" t="s">
        <v>237</v>
      </c>
      <c r="H974">
        <v>0</v>
      </c>
      <c r="I974">
        <v>1</v>
      </c>
      <c r="J974">
        <v>0</v>
      </c>
      <c r="K974">
        <v>0</v>
      </c>
      <c r="L974">
        <v>0</v>
      </c>
    </row>
    <row r="975" spans="1:12" x14ac:dyDescent="0.35">
      <c r="A975" t="s">
        <v>462</v>
      </c>
      <c r="B975" s="7">
        <v>43757.551562499997</v>
      </c>
      <c r="C975" t="s">
        <v>24</v>
      </c>
      <c r="D975" t="s">
        <v>229</v>
      </c>
      <c r="E975">
        <v>1</v>
      </c>
      <c r="F975" t="s">
        <v>239</v>
      </c>
      <c r="G975" t="s">
        <v>237</v>
      </c>
      <c r="H975">
        <v>1</v>
      </c>
      <c r="I975">
        <v>0</v>
      </c>
      <c r="J975">
        <v>0</v>
      </c>
      <c r="K975">
        <v>0</v>
      </c>
      <c r="L975">
        <v>0</v>
      </c>
    </row>
    <row r="976" spans="1:12" x14ac:dyDescent="0.35">
      <c r="A976" t="s">
        <v>464</v>
      </c>
      <c r="B976" s="7">
        <v>43757.551562499997</v>
      </c>
      <c r="C976" t="s">
        <v>108</v>
      </c>
      <c r="D976" t="s">
        <v>238</v>
      </c>
      <c r="E976">
        <v>1</v>
      </c>
      <c r="F976" t="s">
        <v>239</v>
      </c>
      <c r="G976" t="s">
        <v>237</v>
      </c>
      <c r="H976">
        <v>0</v>
      </c>
      <c r="I976">
        <v>0</v>
      </c>
      <c r="J976">
        <v>1</v>
      </c>
      <c r="K976">
        <v>0</v>
      </c>
      <c r="L976">
        <v>0</v>
      </c>
    </row>
    <row r="977" spans="1:12" x14ac:dyDescent="0.35">
      <c r="A977" t="s">
        <v>462</v>
      </c>
      <c r="B977" s="7">
        <v>43757.551562499997</v>
      </c>
      <c r="C977" t="s">
        <v>24</v>
      </c>
      <c r="D977" t="s">
        <v>31</v>
      </c>
      <c r="E977">
        <v>1</v>
      </c>
      <c r="F977" t="s">
        <v>239</v>
      </c>
      <c r="G977" t="s">
        <v>237</v>
      </c>
      <c r="H977">
        <v>1</v>
      </c>
      <c r="I977">
        <v>0</v>
      </c>
      <c r="J977">
        <v>0</v>
      </c>
      <c r="K977">
        <v>0</v>
      </c>
      <c r="L977">
        <v>0</v>
      </c>
    </row>
    <row r="978" spans="1:12" x14ac:dyDescent="0.35">
      <c r="A978" t="s">
        <v>462</v>
      </c>
      <c r="B978" s="7">
        <v>43757.551562499997</v>
      </c>
      <c r="C978" t="s">
        <v>24</v>
      </c>
      <c r="D978" t="s">
        <v>31</v>
      </c>
      <c r="E978">
        <v>1</v>
      </c>
      <c r="F978" t="s">
        <v>239</v>
      </c>
      <c r="G978" t="s">
        <v>237</v>
      </c>
      <c r="H978">
        <v>1</v>
      </c>
      <c r="I978">
        <v>0</v>
      </c>
      <c r="J978">
        <v>0</v>
      </c>
      <c r="K978">
        <v>0</v>
      </c>
      <c r="L978">
        <v>0</v>
      </c>
    </row>
    <row r="979" spans="1:12" x14ac:dyDescent="0.35">
      <c r="A979" t="s">
        <v>462</v>
      </c>
      <c r="B979" s="7">
        <v>43757.551562499997</v>
      </c>
      <c r="C979" t="s">
        <v>24</v>
      </c>
      <c r="D979" t="s">
        <v>238</v>
      </c>
      <c r="E979">
        <v>1</v>
      </c>
      <c r="F979" t="s">
        <v>240</v>
      </c>
      <c r="G979" t="s">
        <v>237</v>
      </c>
      <c r="H979">
        <v>1</v>
      </c>
      <c r="I979">
        <v>0</v>
      </c>
      <c r="J979">
        <v>0</v>
      </c>
      <c r="K979">
        <v>0</v>
      </c>
      <c r="L979">
        <v>0</v>
      </c>
    </row>
    <row r="980" spans="1:12" x14ac:dyDescent="0.35">
      <c r="A980" t="s">
        <v>462</v>
      </c>
      <c r="B980" s="7">
        <v>43757.551562499997</v>
      </c>
      <c r="C980" t="s">
        <v>24</v>
      </c>
      <c r="D980" t="s">
        <v>229</v>
      </c>
      <c r="E980">
        <v>1</v>
      </c>
      <c r="F980" t="s">
        <v>240</v>
      </c>
      <c r="G980" t="s">
        <v>237</v>
      </c>
      <c r="H980">
        <v>1</v>
      </c>
      <c r="I980">
        <v>0</v>
      </c>
      <c r="J980">
        <v>0</v>
      </c>
      <c r="K980">
        <v>0</v>
      </c>
      <c r="L980">
        <v>0</v>
      </c>
    </row>
    <row r="981" spans="1:12" x14ac:dyDescent="0.35">
      <c r="A981" t="s">
        <v>462</v>
      </c>
      <c r="B981" s="7">
        <v>43757.551562499997</v>
      </c>
      <c r="C981" t="s">
        <v>24</v>
      </c>
      <c r="D981" t="s">
        <v>235</v>
      </c>
      <c r="E981">
        <v>1</v>
      </c>
      <c r="F981" t="s">
        <v>240</v>
      </c>
      <c r="G981" t="s">
        <v>237</v>
      </c>
      <c r="H981">
        <v>1</v>
      </c>
      <c r="I981">
        <v>0</v>
      </c>
      <c r="J981">
        <v>0</v>
      </c>
      <c r="K981">
        <v>0</v>
      </c>
      <c r="L981">
        <v>0</v>
      </c>
    </row>
    <row r="982" spans="1:12" x14ac:dyDescent="0.35">
      <c r="A982" t="s">
        <v>462</v>
      </c>
      <c r="B982" s="7">
        <v>43757.551562499997</v>
      </c>
      <c r="C982" t="s">
        <v>24</v>
      </c>
      <c r="D982" t="s">
        <v>229</v>
      </c>
      <c r="E982">
        <v>1</v>
      </c>
      <c r="F982" t="s">
        <v>240</v>
      </c>
      <c r="G982" t="s">
        <v>237</v>
      </c>
      <c r="H982">
        <v>1</v>
      </c>
      <c r="I982">
        <v>0</v>
      </c>
      <c r="J982">
        <v>0</v>
      </c>
      <c r="K982">
        <v>0</v>
      </c>
      <c r="L982">
        <v>0</v>
      </c>
    </row>
    <row r="983" spans="1:12" x14ac:dyDescent="0.35">
      <c r="A983" t="s">
        <v>462</v>
      </c>
      <c r="B983" s="7">
        <v>43757.551562499997</v>
      </c>
      <c r="C983" t="s">
        <v>24</v>
      </c>
      <c r="D983" t="s">
        <v>31</v>
      </c>
      <c r="E983">
        <v>1</v>
      </c>
      <c r="F983" t="s">
        <v>242</v>
      </c>
      <c r="G983" t="s">
        <v>231</v>
      </c>
      <c r="H983">
        <v>1</v>
      </c>
      <c r="I983">
        <v>0</v>
      </c>
      <c r="J983">
        <v>0</v>
      </c>
      <c r="K983">
        <v>0</v>
      </c>
      <c r="L983">
        <v>0</v>
      </c>
    </row>
    <row r="984" spans="1:12" x14ac:dyDescent="0.35">
      <c r="A984" t="s">
        <v>462</v>
      </c>
      <c r="B984" s="7">
        <v>43757.551562499997</v>
      </c>
      <c r="C984" t="s">
        <v>24</v>
      </c>
      <c r="D984" t="s">
        <v>34</v>
      </c>
      <c r="E984">
        <v>1</v>
      </c>
      <c r="F984" t="s">
        <v>242</v>
      </c>
      <c r="G984" t="s">
        <v>231</v>
      </c>
      <c r="H984">
        <v>1</v>
      </c>
      <c r="I984">
        <v>0</v>
      </c>
      <c r="J984">
        <v>0</v>
      </c>
      <c r="K984">
        <v>0</v>
      </c>
      <c r="L984">
        <v>0</v>
      </c>
    </row>
    <row r="985" spans="1:12" x14ac:dyDescent="0.35">
      <c r="A985" t="s">
        <v>465</v>
      </c>
      <c r="B985" s="7">
        <v>43758.551562499997</v>
      </c>
      <c r="C985" t="s">
        <v>108</v>
      </c>
      <c r="D985" t="s">
        <v>229</v>
      </c>
      <c r="E985">
        <v>1</v>
      </c>
      <c r="F985" t="s">
        <v>230</v>
      </c>
      <c r="G985" t="s">
        <v>231</v>
      </c>
      <c r="H985">
        <v>0</v>
      </c>
      <c r="I985">
        <v>0</v>
      </c>
      <c r="J985">
        <v>1</v>
      </c>
      <c r="K985">
        <v>0</v>
      </c>
      <c r="L985">
        <v>0</v>
      </c>
    </row>
    <row r="986" spans="1:12" x14ac:dyDescent="0.35">
      <c r="A986" t="s">
        <v>466</v>
      </c>
      <c r="B986" s="7">
        <v>43758.551562499997</v>
      </c>
      <c r="C986" t="s">
        <v>228</v>
      </c>
      <c r="D986" t="s">
        <v>229</v>
      </c>
      <c r="E986">
        <v>1</v>
      </c>
      <c r="F986" t="s">
        <v>230</v>
      </c>
      <c r="G986" t="s">
        <v>231</v>
      </c>
      <c r="H986">
        <v>0</v>
      </c>
      <c r="I986">
        <v>1</v>
      </c>
      <c r="J986">
        <v>0</v>
      </c>
      <c r="K986">
        <v>0</v>
      </c>
      <c r="L986">
        <v>0</v>
      </c>
    </row>
    <row r="987" spans="1:12" x14ac:dyDescent="0.35">
      <c r="A987" t="s">
        <v>465</v>
      </c>
      <c r="B987" s="7">
        <v>43758.551562499997</v>
      </c>
      <c r="C987" t="s">
        <v>108</v>
      </c>
      <c r="D987" t="s">
        <v>233</v>
      </c>
      <c r="E987">
        <v>1</v>
      </c>
      <c r="F987" t="s">
        <v>230</v>
      </c>
      <c r="G987" t="s">
        <v>231</v>
      </c>
      <c r="H987">
        <v>0</v>
      </c>
      <c r="I987">
        <v>0</v>
      </c>
      <c r="J987">
        <v>1</v>
      </c>
      <c r="K987">
        <v>0</v>
      </c>
      <c r="L987">
        <v>0</v>
      </c>
    </row>
    <row r="988" spans="1:12" x14ac:dyDescent="0.35">
      <c r="A988" t="s">
        <v>467</v>
      </c>
      <c r="B988" s="7">
        <v>43758.551562499997</v>
      </c>
      <c r="C988" t="s">
        <v>24</v>
      </c>
      <c r="D988" t="s">
        <v>229</v>
      </c>
      <c r="E988">
        <v>1</v>
      </c>
      <c r="F988" t="s">
        <v>230</v>
      </c>
      <c r="G988" t="s">
        <v>231</v>
      </c>
      <c r="H988">
        <v>1</v>
      </c>
      <c r="I988">
        <v>0</v>
      </c>
      <c r="J988">
        <v>0</v>
      </c>
      <c r="K988">
        <v>0</v>
      </c>
      <c r="L988">
        <v>0</v>
      </c>
    </row>
    <row r="989" spans="1:12" x14ac:dyDescent="0.35">
      <c r="A989" t="s">
        <v>467</v>
      </c>
      <c r="B989" s="7">
        <v>43758.551562499997</v>
      </c>
      <c r="C989" t="s">
        <v>24</v>
      </c>
      <c r="D989" t="s">
        <v>31</v>
      </c>
      <c r="E989">
        <v>1</v>
      </c>
      <c r="F989" t="s">
        <v>249</v>
      </c>
      <c r="G989" t="s">
        <v>231</v>
      </c>
      <c r="H989">
        <v>1</v>
      </c>
      <c r="I989">
        <v>0</v>
      </c>
      <c r="J989">
        <v>0</v>
      </c>
      <c r="K989">
        <v>0</v>
      </c>
      <c r="L989">
        <v>0</v>
      </c>
    </row>
    <row r="990" spans="1:12" x14ac:dyDescent="0.35">
      <c r="A990" t="s">
        <v>465</v>
      </c>
      <c r="B990" s="7">
        <v>43758.551562499997</v>
      </c>
      <c r="C990" t="s">
        <v>108</v>
      </c>
      <c r="D990" t="s">
        <v>235</v>
      </c>
      <c r="E990">
        <v>1</v>
      </c>
      <c r="F990" t="s">
        <v>249</v>
      </c>
      <c r="G990" t="s">
        <v>231</v>
      </c>
      <c r="H990">
        <v>0</v>
      </c>
      <c r="I990">
        <v>0</v>
      </c>
      <c r="J990">
        <v>1</v>
      </c>
      <c r="K990">
        <v>0</v>
      </c>
      <c r="L990">
        <v>0</v>
      </c>
    </row>
    <row r="991" spans="1:12" x14ac:dyDescent="0.35">
      <c r="A991" t="s">
        <v>467</v>
      </c>
      <c r="B991" s="7">
        <v>43758.551562499997</v>
      </c>
      <c r="C991" t="s">
        <v>24</v>
      </c>
      <c r="D991" t="s">
        <v>34</v>
      </c>
      <c r="E991">
        <v>1</v>
      </c>
      <c r="F991" t="s">
        <v>249</v>
      </c>
      <c r="G991" t="s">
        <v>231</v>
      </c>
      <c r="H991">
        <v>1</v>
      </c>
      <c r="I991">
        <v>0</v>
      </c>
      <c r="J991">
        <v>0</v>
      </c>
      <c r="K991">
        <v>0</v>
      </c>
      <c r="L991">
        <v>0</v>
      </c>
    </row>
    <row r="992" spans="1:12" x14ac:dyDescent="0.35">
      <c r="A992" t="s">
        <v>467</v>
      </c>
      <c r="B992" s="7">
        <v>43758.551562499997</v>
      </c>
      <c r="C992" t="s">
        <v>24</v>
      </c>
      <c r="D992" t="s">
        <v>34</v>
      </c>
      <c r="E992">
        <v>1</v>
      </c>
      <c r="F992" t="s">
        <v>239</v>
      </c>
      <c r="G992" t="s">
        <v>237</v>
      </c>
      <c r="H992">
        <v>1</v>
      </c>
      <c r="I992">
        <v>0</v>
      </c>
      <c r="J992">
        <v>0</v>
      </c>
      <c r="K992">
        <v>0</v>
      </c>
      <c r="L992">
        <v>0</v>
      </c>
    </row>
    <row r="993" spans="1:12" x14ac:dyDescent="0.35">
      <c r="A993" t="s">
        <v>466</v>
      </c>
      <c r="B993" s="7">
        <v>43758.551562499997</v>
      </c>
      <c r="C993" t="s">
        <v>228</v>
      </c>
      <c r="D993" t="s">
        <v>229</v>
      </c>
      <c r="E993">
        <v>1</v>
      </c>
      <c r="F993" t="s">
        <v>239</v>
      </c>
      <c r="G993" t="s">
        <v>237</v>
      </c>
      <c r="H993">
        <v>0</v>
      </c>
      <c r="I993">
        <v>1</v>
      </c>
      <c r="J993">
        <v>0</v>
      </c>
      <c r="K993">
        <v>0</v>
      </c>
      <c r="L993">
        <v>0</v>
      </c>
    </row>
    <row r="994" spans="1:12" x14ac:dyDescent="0.35">
      <c r="A994" t="s">
        <v>466</v>
      </c>
      <c r="B994" s="7">
        <v>43758.551562499997</v>
      </c>
      <c r="C994" t="s">
        <v>228</v>
      </c>
      <c r="D994" t="s">
        <v>233</v>
      </c>
      <c r="E994">
        <v>1</v>
      </c>
      <c r="F994" t="s">
        <v>239</v>
      </c>
      <c r="G994" t="s">
        <v>237</v>
      </c>
      <c r="H994">
        <v>0</v>
      </c>
      <c r="I994">
        <v>1</v>
      </c>
      <c r="J994">
        <v>0</v>
      </c>
      <c r="K994">
        <v>0</v>
      </c>
      <c r="L994">
        <v>0</v>
      </c>
    </row>
    <row r="995" spans="1:12" x14ac:dyDescent="0.35">
      <c r="A995" t="s">
        <v>466</v>
      </c>
      <c r="B995" s="7">
        <v>43758.551562499997</v>
      </c>
      <c r="C995" t="s">
        <v>228</v>
      </c>
      <c r="D995" t="s">
        <v>233</v>
      </c>
      <c r="E995">
        <v>1</v>
      </c>
      <c r="F995" t="s">
        <v>239</v>
      </c>
      <c r="G995" t="s">
        <v>237</v>
      </c>
      <c r="H995">
        <v>0</v>
      </c>
      <c r="I995">
        <v>1</v>
      </c>
      <c r="J995">
        <v>0</v>
      </c>
      <c r="K995">
        <v>0</v>
      </c>
      <c r="L995">
        <v>0</v>
      </c>
    </row>
    <row r="996" spans="1:12" x14ac:dyDescent="0.35">
      <c r="A996" t="s">
        <v>468</v>
      </c>
      <c r="B996" s="7">
        <v>43758.551562499997</v>
      </c>
      <c r="C996" t="s">
        <v>85</v>
      </c>
      <c r="D996" t="s">
        <v>235</v>
      </c>
      <c r="E996">
        <v>1</v>
      </c>
      <c r="F996" t="s">
        <v>239</v>
      </c>
      <c r="G996" t="s">
        <v>237</v>
      </c>
      <c r="H996">
        <v>0</v>
      </c>
      <c r="I996">
        <v>0</v>
      </c>
      <c r="J996">
        <v>0</v>
      </c>
      <c r="K996">
        <v>1</v>
      </c>
      <c r="L996">
        <v>0</v>
      </c>
    </row>
    <row r="997" spans="1:12" x14ac:dyDescent="0.35">
      <c r="A997" t="s">
        <v>467</v>
      </c>
      <c r="B997" s="7">
        <v>43758.551562499997</v>
      </c>
      <c r="C997" t="s">
        <v>24</v>
      </c>
      <c r="D997" t="s">
        <v>233</v>
      </c>
      <c r="E997">
        <v>1</v>
      </c>
      <c r="F997" t="s">
        <v>239</v>
      </c>
      <c r="G997" t="s">
        <v>237</v>
      </c>
      <c r="H997">
        <v>1</v>
      </c>
      <c r="I997">
        <v>0</v>
      </c>
      <c r="J997">
        <v>0</v>
      </c>
      <c r="K997">
        <v>0</v>
      </c>
      <c r="L997">
        <v>0</v>
      </c>
    </row>
    <row r="998" spans="1:12" x14ac:dyDescent="0.35">
      <c r="A998" t="s">
        <v>469</v>
      </c>
      <c r="B998" s="7">
        <v>43759.551562499997</v>
      </c>
      <c r="C998" t="s">
        <v>24</v>
      </c>
      <c r="D998" t="s">
        <v>31</v>
      </c>
      <c r="E998">
        <v>1</v>
      </c>
      <c r="F998" t="s">
        <v>230</v>
      </c>
      <c r="G998" t="s">
        <v>231</v>
      </c>
      <c r="H998">
        <v>1</v>
      </c>
      <c r="I998">
        <v>0</v>
      </c>
      <c r="J998">
        <v>0</v>
      </c>
      <c r="K998">
        <v>0</v>
      </c>
      <c r="L998">
        <v>0</v>
      </c>
    </row>
    <row r="999" spans="1:12" x14ac:dyDescent="0.35">
      <c r="A999" t="s">
        <v>469</v>
      </c>
      <c r="B999" s="7">
        <v>43759.551562499997</v>
      </c>
      <c r="C999" t="s">
        <v>24</v>
      </c>
      <c r="D999" t="s">
        <v>235</v>
      </c>
      <c r="E999">
        <v>1</v>
      </c>
      <c r="F999" t="s">
        <v>230</v>
      </c>
      <c r="G999" t="s">
        <v>231</v>
      </c>
      <c r="H999">
        <v>1</v>
      </c>
      <c r="I999">
        <v>0</v>
      </c>
      <c r="J999">
        <v>0</v>
      </c>
      <c r="K999">
        <v>0</v>
      </c>
      <c r="L999">
        <v>0</v>
      </c>
    </row>
    <row r="1000" spans="1:12" x14ac:dyDescent="0.35">
      <c r="A1000" t="s">
        <v>469</v>
      </c>
      <c r="B1000" s="7">
        <v>43759.551562499997</v>
      </c>
      <c r="C1000" t="s">
        <v>24</v>
      </c>
      <c r="D1000" t="s">
        <v>238</v>
      </c>
      <c r="E1000">
        <v>1</v>
      </c>
      <c r="F1000" t="s">
        <v>249</v>
      </c>
      <c r="G1000" t="s">
        <v>231</v>
      </c>
      <c r="H1000">
        <v>1</v>
      </c>
      <c r="I1000">
        <v>0</v>
      </c>
      <c r="J1000">
        <v>0</v>
      </c>
      <c r="K1000">
        <v>0</v>
      </c>
      <c r="L1000">
        <v>0</v>
      </c>
    </row>
    <row r="1001" spans="1:12" x14ac:dyDescent="0.35">
      <c r="A1001" t="s">
        <v>469</v>
      </c>
      <c r="B1001" s="7">
        <v>43759.551562499997</v>
      </c>
      <c r="C1001" t="s">
        <v>24</v>
      </c>
      <c r="D1001" t="s">
        <v>34</v>
      </c>
      <c r="E1001">
        <v>1</v>
      </c>
      <c r="F1001" t="s">
        <v>236</v>
      </c>
      <c r="G1001" t="s">
        <v>237</v>
      </c>
      <c r="H1001">
        <v>1</v>
      </c>
      <c r="I1001">
        <v>0</v>
      </c>
      <c r="J1001">
        <v>0</v>
      </c>
      <c r="K1001">
        <v>0</v>
      </c>
      <c r="L1001">
        <v>0</v>
      </c>
    </row>
    <row r="1002" spans="1:12" x14ac:dyDescent="0.35">
      <c r="A1002" t="s">
        <v>469</v>
      </c>
      <c r="B1002" s="7">
        <v>43759.551562499997</v>
      </c>
      <c r="C1002" t="s">
        <v>24</v>
      </c>
      <c r="D1002" t="s">
        <v>238</v>
      </c>
      <c r="E1002">
        <v>1</v>
      </c>
      <c r="F1002" t="s">
        <v>239</v>
      </c>
      <c r="G1002" t="s">
        <v>237</v>
      </c>
      <c r="H1002">
        <v>1</v>
      </c>
      <c r="I1002">
        <v>0</v>
      </c>
      <c r="J1002">
        <v>0</v>
      </c>
      <c r="K1002">
        <v>0</v>
      </c>
      <c r="L1002">
        <v>0</v>
      </c>
    </row>
    <row r="1003" spans="1:12" x14ac:dyDescent="0.35">
      <c r="A1003" t="s">
        <v>470</v>
      </c>
      <c r="B1003" s="7">
        <v>43759.551562499997</v>
      </c>
      <c r="C1003" t="s">
        <v>228</v>
      </c>
      <c r="D1003" t="s">
        <v>229</v>
      </c>
      <c r="E1003">
        <v>1</v>
      </c>
      <c r="F1003" t="s">
        <v>239</v>
      </c>
      <c r="G1003" t="s">
        <v>237</v>
      </c>
      <c r="H1003">
        <v>0</v>
      </c>
      <c r="I1003">
        <v>1</v>
      </c>
      <c r="J1003">
        <v>0</v>
      </c>
      <c r="K1003">
        <v>0</v>
      </c>
      <c r="L1003">
        <v>0</v>
      </c>
    </row>
    <row r="1004" spans="1:12" x14ac:dyDescent="0.35">
      <c r="A1004" t="s">
        <v>469</v>
      </c>
      <c r="B1004" s="7">
        <v>43759.551562499997</v>
      </c>
      <c r="C1004" t="s">
        <v>24</v>
      </c>
      <c r="D1004" t="s">
        <v>235</v>
      </c>
      <c r="E1004">
        <v>1</v>
      </c>
      <c r="F1004" t="s">
        <v>242</v>
      </c>
      <c r="G1004" t="s">
        <v>231</v>
      </c>
      <c r="H1004">
        <v>1</v>
      </c>
      <c r="I1004">
        <v>0</v>
      </c>
      <c r="J1004">
        <v>0</v>
      </c>
      <c r="K1004">
        <v>0</v>
      </c>
      <c r="L1004">
        <v>0</v>
      </c>
    </row>
    <row r="1005" spans="1:12" x14ac:dyDescent="0.35">
      <c r="A1005" t="s">
        <v>471</v>
      </c>
      <c r="B1005" s="7">
        <v>43760.551562499997</v>
      </c>
      <c r="C1005" t="s">
        <v>24</v>
      </c>
      <c r="D1005" t="s">
        <v>235</v>
      </c>
      <c r="E1005">
        <v>1</v>
      </c>
      <c r="F1005" t="s">
        <v>230</v>
      </c>
      <c r="G1005" t="s">
        <v>231</v>
      </c>
      <c r="H1005">
        <v>1</v>
      </c>
      <c r="I1005">
        <v>0</v>
      </c>
      <c r="J1005">
        <v>0</v>
      </c>
      <c r="K1005">
        <v>0</v>
      </c>
      <c r="L1005">
        <v>0</v>
      </c>
    </row>
    <row r="1006" spans="1:12" x14ac:dyDescent="0.35">
      <c r="A1006" t="s">
        <v>471</v>
      </c>
      <c r="B1006" s="7">
        <v>43760.551562499997</v>
      </c>
      <c r="C1006" t="s">
        <v>24</v>
      </c>
      <c r="D1006" t="s">
        <v>233</v>
      </c>
      <c r="E1006">
        <v>1</v>
      </c>
      <c r="F1006" t="s">
        <v>249</v>
      </c>
      <c r="G1006" t="s">
        <v>231</v>
      </c>
      <c r="H1006">
        <v>1</v>
      </c>
      <c r="I1006">
        <v>0</v>
      </c>
      <c r="J1006">
        <v>0</v>
      </c>
      <c r="K1006">
        <v>0</v>
      </c>
      <c r="L1006">
        <v>0</v>
      </c>
    </row>
    <row r="1007" spans="1:12" x14ac:dyDescent="0.35">
      <c r="A1007" t="s">
        <v>472</v>
      </c>
      <c r="B1007" s="7">
        <v>43760.551562499997</v>
      </c>
      <c r="C1007" t="s">
        <v>108</v>
      </c>
      <c r="D1007" t="s">
        <v>235</v>
      </c>
      <c r="E1007">
        <v>1</v>
      </c>
      <c r="F1007" t="s">
        <v>236</v>
      </c>
      <c r="G1007" t="s">
        <v>237</v>
      </c>
      <c r="H1007">
        <v>0</v>
      </c>
      <c r="I1007">
        <v>0</v>
      </c>
      <c r="J1007">
        <v>1</v>
      </c>
      <c r="K1007">
        <v>0</v>
      </c>
      <c r="L1007">
        <v>0</v>
      </c>
    </row>
    <row r="1008" spans="1:12" x14ac:dyDescent="0.35">
      <c r="A1008" t="s">
        <v>473</v>
      </c>
      <c r="B1008" s="7">
        <v>43760.551562499997</v>
      </c>
      <c r="C1008" t="s">
        <v>228</v>
      </c>
      <c r="D1008" t="s">
        <v>233</v>
      </c>
      <c r="E1008">
        <v>1</v>
      </c>
      <c r="F1008" t="s">
        <v>240</v>
      </c>
      <c r="G1008" t="s">
        <v>237</v>
      </c>
      <c r="H1008">
        <v>0</v>
      </c>
      <c r="I1008">
        <v>1</v>
      </c>
      <c r="J1008">
        <v>0</v>
      </c>
      <c r="K1008">
        <v>0</v>
      </c>
      <c r="L1008">
        <v>0</v>
      </c>
    </row>
    <row r="1009" spans="1:12" x14ac:dyDescent="0.35">
      <c r="A1009" t="s">
        <v>471</v>
      </c>
      <c r="B1009" s="7">
        <v>43760.551562499997</v>
      </c>
      <c r="C1009" t="s">
        <v>24</v>
      </c>
      <c r="D1009" t="s">
        <v>31</v>
      </c>
      <c r="E1009">
        <v>1</v>
      </c>
      <c r="F1009" t="s">
        <v>240</v>
      </c>
      <c r="G1009" t="s">
        <v>237</v>
      </c>
      <c r="H1009">
        <v>1</v>
      </c>
      <c r="I1009">
        <v>0</v>
      </c>
      <c r="J1009">
        <v>0</v>
      </c>
      <c r="K1009">
        <v>0</v>
      </c>
      <c r="L1009">
        <v>0</v>
      </c>
    </row>
    <row r="1010" spans="1:12" x14ac:dyDescent="0.35">
      <c r="A1010" t="s">
        <v>471</v>
      </c>
      <c r="B1010" s="7">
        <v>43760.551562499997</v>
      </c>
      <c r="C1010" t="s">
        <v>24</v>
      </c>
      <c r="D1010" t="s">
        <v>229</v>
      </c>
      <c r="E1010">
        <v>1</v>
      </c>
      <c r="F1010" t="s">
        <v>240</v>
      </c>
      <c r="G1010" t="s">
        <v>237</v>
      </c>
      <c r="H1010">
        <v>1</v>
      </c>
      <c r="I1010">
        <v>0</v>
      </c>
      <c r="J1010">
        <v>0</v>
      </c>
      <c r="K1010">
        <v>0</v>
      </c>
      <c r="L1010">
        <v>0</v>
      </c>
    </row>
    <row r="1011" spans="1:12" x14ac:dyDescent="0.35">
      <c r="A1011" t="s">
        <v>473</v>
      </c>
      <c r="B1011" s="7">
        <v>43760.551562499997</v>
      </c>
      <c r="C1011" t="s">
        <v>228</v>
      </c>
      <c r="D1011" t="s">
        <v>34</v>
      </c>
      <c r="E1011">
        <v>1</v>
      </c>
      <c r="F1011" t="s">
        <v>242</v>
      </c>
      <c r="G1011" t="s">
        <v>231</v>
      </c>
      <c r="H1011">
        <v>0</v>
      </c>
      <c r="I1011">
        <v>1</v>
      </c>
      <c r="J1011">
        <v>0</v>
      </c>
      <c r="K1011">
        <v>0</v>
      </c>
      <c r="L1011">
        <v>0</v>
      </c>
    </row>
    <row r="1012" spans="1:12" x14ac:dyDescent="0.35">
      <c r="A1012" t="s">
        <v>474</v>
      </c>
      <c r="B1012" s="7">
        <v>43760.551562499997</v>
      </c>
      <c r="C1012" t="s">
        <v>85</v>
      </c>
      <c r="D1012" t="s">
        <v>229</v>
      </c>
      <c r="E1012">
        <v>1</v>
      </c>
      <c r="F1012" t="s">
        <v>242</v>
      </c>
      <c r="G1012" t="s">
        <v>231</v>
      </c>
      <c r="H1012">
        <v>0</v>
      </c>
      <c r="I1012">
        <v>0</v>
      </c>
      <c r="J1012">
        <v>0</v>
      </c>
      <c r="K1012">
        <v>1</v>
      </c>
      <c r="L1012">
        <v>0</v>
      </c>
    </row>
    <row r="1013" spans="1:12" x14ac:dyDescent="0.35">
      <c r="A1013" t="s">
        <v>475</v>
      </c>
      <c r="B1013" s="7">
        <v>43761.551562499997</v>
      </c>
      <c r="C1013" t="s">
        <v>24</v>
      </c>
      <c r="D1013" t="s">
        <v>238</v>
      </c>
      <c r="E1013">
        <v>1</v>
      </c>
      <c r="F1013" t="s">
        <v>236</v>
      </c>
      <c r="G1013" t="s">
        <v>237</v>
      </c>
      <c r="H1013">
        <v>1</v>
      </c>
      <c r="I1013">
        <v>0</v>
      </c>
      <c r="J1013">
        <v>0</v>
      </c>
      <c r="K1013">
        <v>0</v>
      </c>
      <c r="L1013">
        <v>0</v>
      </c>
    </row>
    <row r="1014" spans="1:12" x14ac:dyDescent="0.35">
      <c r="A1014" t="s">
        <v>476</v>
      </c>
      <c r="B1014" s="7">
        <v>43761.551562499997</v>
      </c>
      <c r="C1014" t="s">
        <v>228</v>
      </c>
      <c r="D1014" t="s">
        <v>229</v>
      </c>
      <c r="E1014">
        <v>1</v>
      </c>
      <c r="F1014" t="s">
        <v>239</v>
      </c>
      <c r="G1014" t="s">
        <v>237</v>
      </c>
      <c r="H1014">
        <v>0</v>
      </c>
      <c r="I1014">
        <v>1</v>
      </c>
      <c r="J1014">
        <v>0</v>
      </c>
      <c r="K1014">
        <v>0</v>
      </c>
      <c r="L1014">
        <v>0</v>
      </c>
    </row>
    <row r="1015" spans="1:12" x14ac:dyDescent="0.35">
      <c r="A1015" t="s">
        <v>475</v>
      </c>
      <c r="B1015" s="7">
        <v>43761.551562499997</v>
      </c>
      <c r="C1015" t="s">
        <v>24</v>
      </c>
      <c r="D1015" t="s">
        <v>31</v>
      </c>
      <c r="E1015">
        <v>1</v>
      </c>
      <c r="F1015" t="s">
        <v>239</v>
      </c>
      <c r="G1015" t="s">
        <v>237</v>
      </c>
      <c r="H1015">
        <v>1</v>
      </c>
      <c r="I1015">
        <v>0</v>
      </c>
      <c r="J1015">
        <v>0</v>
      </c>
      <c r="K1015">
        <v>0</v>
      </c>
      <c r="L1015">
        <v>0</v>
      </c>
    </row>
    <row r="1016" spans="1:12" x14ac:dyDescent="0.35">
      <c r="A1016" t="s">
        <v>477</v>
      </c>
      <c r="B1016" s="7">
        <v>43761.551562499997</v>
      </c>
      <c r="C1016" t="s">
        <v>108</v>
      </c>
      <c r="D1016" t="s">
        <v>34</v>
      </c>
      <c r="E1016">
        <v>1</v>
      </c>
      <c r="F1016" t="s">
        <v>240</v>
      </c>
      <c r="G1016" t="s">
        <v>237</v>
      </c>
      <c r="H1016">
        <v>0</v>
      </c>
      <c r="I1016">
        <v>0</v>
      </c>
      <c r="J1016">
        <v>1</v>
      </c>
      <c r="K1016">
        <v>0</v>
      </c>
      <c r="L1016">
        <v>0</v>
      </c>
    </row>
    <row r="1017" spans="1:12" x14ac:dyDescent="0.35">
      <c r="A1017" t="s">
        <v>475</v>
      </c>
      <c r="B1017" s="7">
        <v>43761.551562499997</v>
      </c>
      <c r="C1017" t="s">
        <v>24</v>
      </c>
      <c r="D1017" t="s">
        <v>229</v>
      </c>
      <c r="E1017">
        <v>1</v>
      </c>
      <c r="F1017" t="s">
        <v>240</v>
      </c>
      <c r="G1017" t="s">
        <v>237</v>
      </c>
      <c r="H1017">
        <v>1</v>
      </c>
      <c r="I1017">
        <v>0</v>
      </c>
      <c r="J1017">
        <v>0</v>
      </c>
      <c r="K1017">
        <v>0</v>
      </c>
      <c r="L1017">
        <v>0</v>
      </c>
    </row>
    <row r="1018" spans="1:12" x14ac:dyDescent="0.35">
      <c r="A1018" t="s">
        <v>475</v>
      </c>
      <c r="B1018" s="7">
        <v>43761.551562499997</v>
      </c>
      <c r="C1018" t="s">
        <v>24</v>
      </c>
      <c r="D1018" t="s">
        <v>34</v>
      </c>
      <c r="E1018">
        <v>1</v>
      </c>
      <c r="F1018" t="s">
        <v>240</v>
      </c>
      <c r="G1018" t="s">
        <v>237</v>
      </c>
      <c r="H1018">
        <v>1</v>
      </c>
      <c r="I1018">
        <v>0</v>
      </c>
      <c r="J1018">
        <v>0</v>
      </c>
      <c r="K1018">
        <v>0</v>
      </c>
      <c r="L1018">
        <v>0</v>
      </c>
    </row>
    <row r="1019" spans="1:12" x14ac:dyDescent="0.35">
      <c r="A1019" t="s">
        <v>475</v>
      </c>
      <c r="B1019" s="7">
        <v>43761.551562499997</v>
      </c>
      <c r="C1019" t="s">
        <v>24</v>
      </c>
      <c r="D1019" t="s">
        <v>34</v>
      </c>
      <c r="E1019">
        <v>1</v>
      </c>
      <c r="F1019" t="s">
        <v>242</v>
      </c>
      <c r="G1019" t="s">
        <v>231</v>
      </c>
      <c r="H1019">
        <v>1</v>
      </c>
      <c r="I1019">
        <v>0</v>
      </c>
      <c r="J1019">
        <v>0</v>
      </c>
      <c r="K1019">
        <v>0</v>
      </c>
      <c r="L1019">
        <v>0</v>
      </c>
    </row>
    <row r="1020" spans="1:12" x14ac:dyDescent="0.35">
      <c r="A1020" t="s">
        <v>477</v>
      </c>
      <c r="B1020" s="7">
        <v>43761.551562499997</v>
      </c>
      <c r="C1020" t="s">
        <v>108</v>
      </c>
      <c r="D1020" t="s">
        <v>229</v>
      </c>
      <c r="E1020">
        <v>1</v>
      </c>
      <c r="F1020" t="s">
        <v>242</v>
      </c>
      <c r="G1020" t="s">
        <v>231</v>
      </c>
      <c r="H1020">
        <v>0</v>
      </c>
      <c r="I1020">
        <v>0</v>
      </c>
      <c r="J1020">
        <v>1</v>
      </c>
      <c r="K1020">
        <v>0</v>
      </c>
      <c r="L1020">
        <v>0</v>
      </c>
    </row>
    <row r="1021" spans="1:12" x14ac:dyDescent="0.35">
      <c r="A1021" t="s">
        <v>478</v>
      </c>
      <c r="B1021" s="7">
        <v>43762.551562499997</v>
      </c>
      <c r="C1021" t="s">
        <v>108</v>
      </c>
      <c r="D1021" t="s">
        <v>233</v>
      </c>
      <c r="E1021">
        <v>1</v>
      </c>
      <c r="F1021" t="s">
        <v>230</v>
      </c>
      <c r="G1021" t="s">
        <v>231</v>
      </c>
      <c r="H1021">
        <v>0</v>
      </c>
      <c r="I1021">
        <v>0</v>
      </c>
      <c r="J1021">
        <v>1</v>
      </c>
      <c r="K1021">
        <v>0</v>
      </c>
      <c r="L1021">
        <v>0</v>
      </c>
    </row>
    <row r="1022" spans="1:12" x14ac:dyDescent="0.35">
      <c r="A1022" t="s">
        <v>479</v>
      </c>
      <c r="B1022" s="7">
        <v>43762.551562499997</v>
      </c>
      <c r="C1022" t="s">
        <v>24</v>
      </c>
      <c r="D1022" t="s">
        <v>238</v>
      </c>
      <c r="E1022">
        <v>1</v>
      </c>
      <c r="F1022" t="s">
        <v>239</v>
      </c>
      <c r="G1022" t="s">
        <v>237</v>
      </c>
      <c r="H1022">
        <v>1</v>
      </c>
      <c r="I1022">
        <v>0</v>
      </c>
      <c r="J1022">
        <v>0</v>
      </c>
      <c r="K1022">
        <v>0</v>
      </c>
      <c r="L1022">
        <v>0</v>
      </c>
    </row>
    <row r="1023" spans="1:12" x14ac:dyDescent="0.35">
      <c r="A1023" t="s">
        <v>480</v>
      </c>
      <c r="B1023" s="7">
        <v>43762.551562499997</v>
      </c>
      <c r="C1023" t="s">
        <v>85</v>
      </c>
      <c r="D1023" t="s">
        <v>34</v>
      </c>
      <c r="E1023">
        <v>1</v>
      </c>
      <c r="F1023" t="s">
        <v>239</v>
      </c>
      <c r="G1023" t="s">
        <v>237</v>
      </c>
      <c r="H1023">
        <v>0</v>
      </c>
      <c r="I1023">
        <v>0</v>
      </c>
      <c r="J1023">
        <v>0</v>
      </c>
      <c r="K1023">
        <v>1</v>
      </c>
      <c r="L1023">
        <v>0</v>
      </c>
    </row>
    <row r="1024" spans="1:12" x14ac:dyDescent="0.35">
      <c r="A1024" t="s">
        <v>479</v>
      </c>
      <c r="B1024" s="7">
        <v>43762.551562499997</v>
      </c>
      <c r="C1024" t="s">
        <v>24</v>
      </c>
      <c r="D1024" t="s">
        <v>233</v>
      </c>
      <c r="E1024">
        <v>1</v>
      </c>
      <c r="F1024" t="s">
        <v>240</v>
      </c>
      <c r="G1024" t="s">
        <v>237</v>
      </c>
      <c r="H1024">
        <v>1</v>
      </c>
      <c r="I1024">
        <v>0</v>
      </c>
      <c r="J1024">
        <v>0</v>
      </c>
      <c r="K1024">
        <v>0</v>
      </c>
      <c r="L1024">
        <v>0</v>
      </c>
    </row>
    <row r="1025" spans="1:12" x14ac:dyDescent="0.35">
      <c r="A1025" t="s">
        <v>479</v>
      </c>
      <c r="B1025" s="7">
        <v>43762.551562499997</v>
      </c>
      <c r="C1025" t="s">
        <v>24</v>
      </c>
      <c r="D1025" t="s">
        <v>229</v>
      </c>
      <c r="E1025">
        <v>1</v>
      </c>
      <c r="F1025" t="s">
        <v>242</v>
      </c>
      <c r="G1025" t="s">
        <v>231</v>
      </c>
      <c r="H1025">
        <v>1</v>
      </c>
      <c r="I1025">
        <v>0</v>
      </c>
      <c r="J1025">
        <v>0</v>
      </c>
      <c r="K1025">
        <v>0</v>
      </c>
      <c r="L1025">
        <v>0</v>
      </c>
    </row>
    <row r="1026" spans="1:12" x14ac:dyDescent="0.35">
      <c r="A1026" t="s">
        <v>481</v>
      </c>
      <c r="B1026" s="7">
        <v>43763.551562499997</v>
      </c>
      <c r="C1026" t="s">
        <v>24</v>
      </c>
      <c r="D1026" t="s">
        <v>31</v>
      </c>
      <c r="E1026">
        <v>1</v>
      </c>
      <c r="F1026" t="s">
        <v>230</v>
      </c>
      <c r="G1026" t="s">
        <v>231</v>
      </c>
      <c r="H1026">
        <v>1</v>
      </c>
      <c r="I1026">
        <v>0</v>
      </c>
      <c r="J1026">
        <v>0</v>
      </c>
      <c r="K1026">
        <v>0</v>
      </c>
      <c r="L1026">
        <v>0</v>
      </c>
    </row>
    <row r="1027" spans="1:12" x14ac:dyDescent="0.35">
      <c r="A1027" t="s">
        <v>481</v>
      </c>
      <c r="B1027" s="7">
        <v>43763.551562499997</v>
      </c>
      <c r="C1027" t="s">
        <v>24</v>
      </c>
      <c r="D1027" t="s">
        <v>31</v>
      </c>
      <c r="E1027">
        <v>1</v>
      </c>
      <c r="F1027" t="s">
        <v>249</v>
      </c>
      <c r="G1027" t="s">
        <v>231</v>
      </c>
      <c r="H1027">
        <v>1</v>
      </c>
      <c r="I1027">
        <v>0</v>
      </c>
      <c r="J1027">
        <v>0</v>
      </c>
      <c r="K1027">
        <v>0</v>
      </c>
      <c r="L1027">
        <v>0</v>
      </c>
    </row>
    <row r="1028" spans="1:12" x14ac:dyDescent="0.35">
      <c r="A1028" t="s">
        <v>481</v>
      </c>
      <c r="B1028" s="7">
        <v>43763.551562499997</v>
      </c>
      <c r="C1028" t="s">
        <v>24</v>
      </c>
      <c r="D1028" t="s">
        <v>235</v>
      </c>
      <c r="E1028">
        <v>1</v>
      </c>
      <c r="F1028" t="s">
        <v>236</v>
      </c>
      <c r="G1028" t="s">
        <v>237</v>
      </c>
      <c r="H1028">
        <v>1</v>
      </c>
      <c r="I1028">
        <v>0</v>
      </c>
      <c r="J1028">
        <v>0</v>
      </c>
      <c r="K1028">
        <v>0</v>
      </c>
      <c r="L1028">
        <v>0</v>
      </c>
    </row>
    <row r="1029" spans="1:12" x14ac:dyDescent="0.35">
      <c r="A1029" t="s">
        <v>481</v>
      </c>
      <c r="B1029" s="7">
        <v>43763.551562499997</v>
      </c>
      <c r="C1029" t="s">
        <v>24</v>
      </c>
      <c r="D1029" t="s">
        <v>238</v>
      </c>
      <c r="E1029">
        <v>1</v>
      </c>
      <c r="F1029" t="s">
        <v>239</v>
      </c>
      <c r="G1029" t="s">
        <v>237</v>
      </c>
      <c r="H1029">
        <v>1</v>
      </c>
      <c r="I1029">
        <v>0</v>
      </c>
      <c r="J1029">
        <v>0</v>
      </c>
      <c r="K1029">
        <v>0</v>
      </c>
      <c r="L1029">
        <v>0</v>
      </c>
    </row>
    <row r="1030" spans="1:12" x14ac:dyDescent="0.35">
      <c r="A1030" t="s">
        <v>481</v>
      </c>
      <c r="B1030" s="7">
        <v>43763.551562499997</v>
      </c>
      <c r="C1030" t="s">
        <v>24</v>
      </c>
      <c r="D1030" t="s">
        <v>31</v>
      </c>
      <c r="E1030">
        <v>1</v>
      </c>
      <c r="F1030" t="s">
        <v>239</v>
      </c>
      <c r="G1030" t="s">
        <v>237</v>
      </c>
      <c r="H1030">
        <v>1</v>
      </c>
      <c r="I1030">
        <v>0</v>
      </c>
      <c r="J1030">
        <v>0</v>
      </c>
      <c r="K1030">
        <v>0</v>
      </c>
      <c r="L1030">
        <v>0</v>
      </c>
    </row>
    <row r="1031" spans="1:12" x14ac:dyDescent="0.35">
      <c r="A1031" t="s">
        <v>481</v>
      </c>
      <c r="B1031" s="7">
        <v>43763.551562499997</v>
      </c>
      <c r="C1031" t="s">
        <v>24</v>
      </c>
      <c r="D1031" t="s">
        <v>233</v>
      </c>
      <c r="E1031">
        <v>1</v>
      </c>
      <c r="F1031" t="s">
        <v>240</v>
      </c>
      <c r="G1031" t="s">
        <v>237</v>
      </c>
      <c r="H1031">
        <v>1</v>
      </c>
      <c r="I1031">
        <v>0</v>
      </c>
      <c r="J1031">
        <v>0</v>
      </c>
      <c r="K1031">
        <v>0</v>
      </c>
      <c r="L1031">
        <v>0</v>
      </c>
    </row>
    <row r="1032" spans="1:12" x14ac:dyDescent="0.35">
      <c r="A1032" t="s">
        <v>482</v>
      </c>
      <c r="B1032" s="7">
        <v>43763.551562499997</v>
      </c>
      <c r="C1032" t="s">
        <v>85</v>
      </c>
      <c r="D1032" t="s">
        <v>34</v>
      </c>
      <c r="E1032">
        <v>1</v>
      </c>
      <c r="F1032" t="s">
        <v>242</v>
      </c>
      <c r="G1032" t="s">
        <v>231</v>
      </c>
      <c r="H1032">
        <v>0</v>
      </c>
      <c r="I1032">
        <v>0</v>
      </c>
      <c r="J1032">
        <v>0</v>
      </c>
      <c r="K1032">
        <v>1</v>
      </c>
      <c r="L1032">
        <v>0</v>
      </c>
    </row>
    <row r="1033" spans="1:12" x14ac:dyDescent="0.35">
      <c r="A1033" t="s">
        <v>481</v>
      </c>
      <c r="B1033" s="7">
        <v>43763.551562499997</v>
      </c>
      <c r="C1033" t="s">
        <v>24</v>
      </c>
      <c r="D1033" t="s">
        <v>34</v>
      </c>
      <c r="E1033">
        <v>1</v>
      </c>
      <c r="F1033" t="s">
        <v>242</v>
      </c>
      <c r="G1033" t="s">
        <v>231</v>
      </c>
      <c r="H1033">
        <v>1</v>
      </c>
      <c r="I1033">
        <v>0</v>
      </c>
      <c r="J1033">
        <v>0</v>
      </c>
      <c r="K1033">
        <v>0</v>
      </c>
      <c r="L1033">
        <v>0</v>
      </c>
    </row>
    <row r="1034" spans="1:12" x14ac:dyDescent="0.35">
      <c r="A1034" t="s">
        <v>483</v>
      </c>
      <c r="B1034" s="7">
        <v>43764.551562499997</v>
      </c>
      <c r="C1034" t="s">
        <v>24</v>
      </c>
      <c r="D1034" t="s">
        <v>31</v>
      </c>
      <c r="E1034">
        <v>1</v>
      </c>
      <c r="F1034" t="s">
        <v>230</v>
      </c>
      <c r="G1034" t="s">
        <v>231</v>
      </c>
      <c r="H1034">
        <v>1</v>
      </c>
      <c r="I1034">
        <v>0</v>
      </c>
      <c r="J1034">
        <v>0</v>
      </c>
      <c r="K1034">
        <v>0</v>
      </c>
      <c r="L1034">
        <v>0</v>
      </c>
    </row>
    <row r="1035" spans="1:12" x14ac:dyDescent="0.35">
      <c r="A1035" t="s">
        <v>483</v>
      </c>
      <c r="B1035" s="7">
        <v>43764.551562499997</v>
      </c>
      <c r="C1035" t="s">
        <v>24</v>
      </c>
      <c r="D1035" t="s">
        <v>238</v>
      </c>
      <c r="E1035">
        <v>1</v>
      </c>
      <c r="F1035" t="s">
        <v>230</v>
      </c>
      <c r="G1035" t="s">
        <v>231</v>
      </c>
      <c r="H1035">
        <v>1</v>
      </c>
      <c r="I1035">
        <v>0</v>
      </c>
      <c r="J1035">
        <v>0</v>
      </c>
      <c r="K1035">
        <v>0</v>
      </c>
      <c r="L1035">
        <v>0</v>
      </c>
    </row>
    <row r="1036" spans="1:12" x14ac:dyDescent="0.35">
      <c r="A1036" t="s">
        <v>484</v>
      </c>
      <c r="B1036" s="7">
        <v>43764.551562499997</v>
      </c>
      <c r="C1036" t="s">
        <v>228</v>
      </c>
      <c r="D1036" t="s">
        <v>229</v>
      </c>
      <c r="E1036">
        <v>1</v>
      </c>
      <c r="F1036" t="s">
        <v>249</v>
      </c>
      <c r="G1036" t="s">
        <v>231</v>
      </c>
      <c r="H1036">
        <v>0</v>
      </c>
      <c r="I1036">
        <v>1</v>
      </c>
      <c r="J1036">
        <v>0</v>
      </c>
      <c r="K1036">
        <v>0</v>
      </c>
      <c r="L1036">
        <v>0</v>
      </c>
    </row>
    <row r="1037" spans="1:12" x14ac:dyDescent="0.35">
      <c r="A1037" t="s">
        <v>485</v>
      </c>
      <c r="B1037" s="7">
        <v>43764.551562499997</v>
      </c>
      <c r="C1037" t="s">
        <v>85</v>
      </c>
      <c r="D1037" t="s">
        <v>34</v>
      </c>
      <c r="E1037">
        <v>1</v>
      </c>
      <c r="F1037" t="s">
        <v>249</v>
      </c>
      <c r="G1037" t="s">
        <v>231</v>
      </c>
      <c r="H1037">
        <v>0</v>
      </c>
      <c r="I1037">
        <v>0</v>
      </c>
      <c r="J1037">
        <v>0</v>
      </c>
      <c r="K1037">
        <v>1</v>
      </c>
      <c r="L1037">
        <v>0</v>
      </c>
    </row>
    <row r="1038" spans="1:12" x14ac:dyDescent="0.35">
      <c r="A1038" t="s">
        <v>483</v>
      </c>
      <c r="B1038" s="7">
        <v>43764.551562499997</v>
      </c>
      <c r="C1038" t="s">
        <v>24</v>
      </c>
      <c r="D1038" t="s">
        <v>229</v>
      </c>
      <c r="E1038">
        <v>1</v>
      </c>
      <c r="F1038" t="s">
        <v>236</v>
      </c>
      <c r="G1038" t="s">
        <v>237</v>
      </c>
      <c r="H1038">
        <v>1</v>
      </c>
      <c r="I1038">
        <v>0</v>
      </c>
      <c r="J1038">
        <v>0</v>
      </c>
      <c r="K1038">
        <v>0</v>
      </c>
      <c r="L1038">
        <v>0</v>
      </c>
    </row>
    <row r="1039" spans="1:12" x14ac:dyDescent="0.35">
      <c r="A1039" t="s">
        <v>483</v>
      </c>
      <c r="B1039" s="7">
        <v>43764.551562499997</v>
      </c>
      <c r="C1039" t="s">
        <v>24</v>
      </c>
      <c r="D1039" t="s">
        <v>238</v>
      </c>
      <c r="E1039">
        <v>1</v>
      </c>
      <c r="F1039" t="s">
        <v>236</v>
      </c>
      <c r="G1039" t="s">
        <v>237</v>
      </c>
      <c r="H1039">
        <v>1</v>
      </c>
      <c r="I1039">
        <v>0</v>
      </c>
      <c r="J1039">
        <v>0</v>
      </c>
      <c r="K1039">
        <v>0</v>
      </c>
      <c r="L1039">
        <v>0</v>
      </c>
    </row>
    <row r="1040" spans="1:12" x14ac:dyDescent="0.35">
      <c r="A1040" t="s">
        <v>485</v>
      </c>
      <c r="B1040" s="7">
        <v>43764.551562499997</v>
      </c>
      <c r="C1040" t="s">
        <v>85</v>
      </c>
      <c r="D1040" t="s">
        <v>235</v>
      </c>
      <c r="E1040">
        <v>1</v>
      </c>
      <c r="F1040" t="s">
        <v>239</v>
      </c>
      <c r="G1040" t="s">
        <v>237</v>
      </c>
      <c r="H1040">
        <v>0</v>
      </c>
      <c r="I1040">
        <v>0</v>
      </c>
      <c r="J1040">
        <v>0</v>
      </c>
      <c r="K1040">
        <v>1</v>
      </c>
      <c r="L1040">
        <v>0</v>
      </c>
    </row>
    <row r="1041" spans="1:12" x14ac:dyDescent="0.35">
      <c r="A1041" t="s">
        <v>483</v>
      </c>
      <c r="B1041" s="7">
        <v>43764.551562499997</v>
      </c>
      <c r="C1041" t="s">
        <v>24</v>
      </c>
      <c r="D1041" t="s">
        <v>238</v>
      </c>
      <c r="E1041">
        <v>1</v>
      </c>
      <c r="F1041" t="s">
        <v>239</v>
      </c>
      <c r="G1041" t="s">
        <v>237</v>
      </c>
      <c r="H1041">
        <v>1</v>
      </c>
      <c r="I1041">
        <v>0</v>
      </c>
      <c r="J1041">
        <v>0</v>
      </c>
      <c r="K1041">
        <v>0</v>
      </c>
      <c r="L1041">
        <v>0</v>
      </c>
    </row>
    <row r="1042" spans="1:12" x14ac:dyDescent="0.35">
      <c r="A1042" t="s">
        <v>483</v>
      </c>
      <c r="B1042" s="7">
        <v>43764.551562499997</v>
      </c>
      <c r="C1042" t="s">
        <v>24</v>
      </c>
      <c r="D1042" t="s">
        <v>233</v>
      </c>
      <c r="E1042">
        <v>1</v>
      </c>
      <c r="F1042" t="s">
        <v>239</v>
      </c>
      <c r="G1042" t="s">
        <v>237</v>
      </c>
      <c r="H1042">
        <v>1</v>
      </c>
      <c r="I1042">
        <v>0</v>
      </c>
      <c r="J1042">
        <v>0</v>
      </c>
      <c r="K1042">
        <v>0</v>
      </c>
      <c r="L1042">
        <v>0</v>
      </c>
    </row>
    <row r="1043" spans="1:12" x14ac:dyDescent="0.35">
      <c r="A1043" t="s">
        <v>484</v>
      </c>
      <c r="B1043" s="7">
        <v>43764.551562499997</v>
      </c>
      <c r="C1043" t="s">
        <v>228</v>
      </c>
      <c r="D1043" t="s">
        <v>233</v>
      </c>
      <c r="E1043">
        <v>1</v>
      </c>
      <c r="F1043" t="s">
        <v>239</v>
      </c>
      <c r="G1043" t="s">
        <v>237</v>
      </c>
      <c r="H1043">
        <v>0</v>
      </c>
      <c r="I1043">
        <v>1</v>
      </c>
      <c r="J1043">
        <v>0</v>
      </c>
      <c r="K1043">
        <v>0</v>
      </c>
      <c r="L1043">
        <v>0</v>
      </c>
    </row>
    <row r="1044" spans="1:12" x14ac:dyDescent="0.35">
      <c r="A1044" t="s">
        <v>484</v>
      </c>
      <c r="B1044" s="7">
        <v>43764.551562499997</v>
      </c>
      <c r="C1044" t="s">
        <v>228</v>
      </c>
      <c r="D1044" t="s">
        <v>31</v>
      </c>
      <c r="E1044">
        <v>1</v>
      </c>
      <c r="F1044" t="s">
        <v>240</v>
      </c>
      <c r="G1044" t="s">
        <v>237</v>
      </c>
      <c r="H1044">
        <v>0</v>
      </c>
      <c r="I1044">
        <v>1</v>
      </c>
      <c r="J1044">
        <v>0</v>
      </c>
      <c r="K1044">
        <v>0</v>
      </c>
      <c r="L1044">
        <v>0</v>
      </c>
    </row>
    <row r="1045" spans="1:12" x14ac:dyDescent="0.35">
      <c r="A1045" t="s">
        <v>485</v>
      </c>
      <c r="B1045" s="7">
        <v>43764.551562499997</v>
      </c>
      <c r="C1045" t="s">
        <v>85</v>
      </c>
      <c r="D1045" t="s">
        <v>34</v>
      </c>
      <c r="E1045">
        <v>1</v>
      </c>
      <c r="F1045" t="s">
        <v>240</v>
      </c>
      <c r="G1045" t="s">
        <v>237</v>
      </c>
      <c r="H1045">
        <v>0</v>
      </c>
      <c r="I1045">
        <v>0</v>
      </c>
      <c r="J1045">
        <v>0</v>
      </c>
      <c r="K1045">
        <v>1</v>
      </c>
      <c r="L1045">
        <v>0</v>
      </c>
    </row>
    <row r="1046" spans="1:12" x14ac:dyDescent="0.35">
      <c r="A1046" t="s">
        <v>483</v>
      </c>
      <c r="B1046" s="7">
        <v>43764.551562499997</v>
      </c>
      <c r="C1046" t="s">
        <v>24</v>
      </c>
      <c r="D1046" t="s">
        <v>233</v>
      </c>
      <c r="E1046">
        <v>1</v>
      </c>
      <c r="F1046" t="s">
        <v>240</v>
      </c>
      <c r="G1046" t="s">
        <v>237</v>
      </c>
      <c r="H1046">
        <v>1</v>
      </c>
      <c r="I1046">
        <v>0</v>
      </c>
      <c r="J1046">
        <v>0</v>
      </c>
      <c r="K1046">
        <v>0</v>
      </c>
      <c r="L1046">
        <v>0</v>
      </c>
    </row>
    <row r="1047" spans="1:12" x14ac:dyDescent="0.35">
      <c r="A1047" t="s">
        <v>483</v>
      </c>
      <c r="B1047" s="7">
        <v>43764.551562499997</v>
      </c>
      <c r="C1047" t="s">
        <v>24</v>
      </c>
      <c r="D1047" t="s">
        <v>235</v>
      </c>
      <c r="E1047">
        <v>1</v>
      </c>
      <c r="F1047" t="s">
        <v>240</v>
      </c>
      <c r="G1047" t="s">
        <v>237</v>
      </c>
      <c r="H1047">
        <v>1</v>
      </c>
      <c r="I1047">
        <v>0</v>
      </c>
      <c r="J1047">
        <v>0</v>
      </c>
      <c r="K1047">
        <v>0</v>
      </c>
      <c r="L1047">
        <v>0</v>
      </c>
    </row>
    <row r="1048" spans="1:12" x14ac:dyDescent="0.35">
      <c r="A1048" t="s">
        <v>483</v>
      </c>
      <c r="B1048" s="7">
        <v>43764.551562499997</v>
      </c>
      <c r="C1048" t="s">
        <v>24</v>
      </c>
      <c r="D1048" t="s">
        <v>238</v>
      </c>
      <c r="E1048">
        <v>1</v>
      </c>
      <c r="F1048" t="s">
        <v>240</v>
      </c>
      <c r="G1048" t="s">
        <v>237</v>
      </c>
      <c r="H1048">
        <v>1</v>
      </c>
      <c r="I1048">
        <v>0</v>
      </c>
      <c r="J1048">
        <v>0</v>
      </c>
      <c r="K1048">
        <v>0</v>
      </c>
      <c r="L1048">
        <v>0</v>
      </c>
    </row>
    <row r="1049" spans="1:12" x14ac:dyDescent="0.35">
      <c r="A1049" t="s">
        <v>483</v>
      </c>
      <c r="B1049" s="7">
        <v>43764.551562499997</v>
      </c>
      <c r="C1049" t="s">
        <v>24</v>
      </c>
      <c r="D1049" t="s">
        <v>235</v>
      </c>
      <c r="E1049">
        <v>1</v>
      </c>
      <c r="F1049" t="s">
        <v>240</v>
      </c>
      <c r="G1049" t="s">
        <v>237</v>
      </c>
      <c r="H1049">
        <v>1</v>
      </c>
      <c r="I1049">
        <v>0</v>
      </c>
      <c r="J1049">
        <v>0</v>
      </c>
      <c r="K1049">
        <v>0</v>
      </c>
      <c r="L1049">
        <v>0</v>
      </c>
    </row>
    <row r="1050" spans="1:12" x14ac:dyDescent="0.35">
      <c r="A1050" t="s">
        <v>483</v>
      </c>
      <c r="B1050" s="7">
        <v>43764.551562499997</v>
      </c>
      <c r="C1050" t="s">
        <v>24</v>
      </c>
      <c r="D1050" t="s">
        <v>235</v>
      </c>
      <c r="E1050">
        <v>1</v>
      </c>
      <c r="F1050" t="s">
        <v>242</v>
      </c>
      <c r="G1050" t="s">
        <v>231</v>
      </c>
      <c r="H1050">
        <v>1</v>
      </c>
      <c r="I1050">
        <v>0</v>
      </c>
      <c r="J1050">
        <v>0</v>
      </c>
      <c r="K1050">
        <v>0</v>
      </c>
      <c r="L1050">
        <v>0</v>
      </c>
    </row>
    <row r="1051" spans="1:12" x14ac:dyDescent="0.35">
      <c r="A1051" t="s">
        <v>483</v>
      </c>
      <c r="B1051" s="7">
        <v>43764.551562499997</v>
      </c>
      <c r="C1051" t="s">
        <v>24</v>
      </c>
      <c r="D1051" t="s">
        <v>31</v>
      </c>
      <c r="E1051">
        <v>1</v>
      </c>
      <c r="F1051" t="s">
        <v>242</v>
      </c>
      <c r="G1051" t="s">
        <v>231</v>
      </c>
      <c r="H1051">
        <v>1</v>
      </c>
      <c r="I1051">
        <v>0</v>
      </c>
      <c r="J1051">
        <v>0</v>
      </c>
      <c r="K1051">
        <v>0</v>
      </c>
      <c r="L1051">
        <v>0</v>
      </c>
    </row>
    <row r="1052" spans="1:12" x14ac:dyDescent="0.35">
      <c r="A1052" t="s">
        <v>483</v>
      </c>
      <c r="B1052" s="7">
        <v>43764.551562499997</v>
      </c>
      <c r="C1052" t="s">
        <v>24</v>
      </c>
      <c r="D1052" t="s">
        <v>233</v>
      </c>
      <c r="E1052">
        <v>1</v>
      </c>
      <c r="F1052" t="s">
        <v>242</v>
      </c>
      <c r="G1052" t="s">
        <v>231</v>
      </c>
      <c r="H1052">
        <v>1</v>
      </c>
      <c r="I1052">
        <v>0</v>
      </c>
      <c r="J1052">
        <v>0</v>
      </c>
      <c r="K1052">
        <v>0</v>
      </c>
      <c r="L1052">
        <v>0</v>
      </c>
    </row>
    <row r="1053" spans="1:12" x14ac:dyDescent="0.35">
      <c r="A1053" t="s">
        <v>483</v>
      </c>
      <c r="B1053" s="7">
        <v>43764.551562499997</v>
      </c>
      <c r="C1053" t="s">
        <v>24</v>
      </c>
      <c r="D1053" t="s">
        <v>238</v>
      </c>
      <c r="E1053">
        <v>1</v>
      </c>
      <c r="F1053" t="s">
        <v>242</v>
      </c>
      <c r="G1053" t="s">
        <v>231</v>
      </c>
      <c r="H1053">
        <v>1</v>
      </c>
      <c r="I1053">
        <v>0</v>
      </c>
      <c r="J1053">
        <v>0</v>
      </c>
      <c r="K1053">
        <v>0</v>
      </c>
      <c r="L1053">
        <v>0</v>
      </c>
    </row>
    <row r="1054" spans="1:12" x14ac:dyDescent="0.35">
      <c r="A1054" t="s">
        <v>486</v>
      </c>
      <c r="B1054" s="7">
        <v>43765.551562499997</v>
      </c>
      <c r="C1054" t="s">
        <v>24</v>
      </c>
      <c r="D1054" t="s">
        <v>34</v>
      </c>
      <c r="E1054">
        <v>1</v>
      </c>
      <c r="F1054" t="s">
        <v>230</v>
      </c>
      <c r="G1054" t="s">
        <v>231</v>
      </c>
      <c r="H1054">
        <v>1</v>
      </c>
      <c r="I1054">
        <v>0</v>
      </c>
      <c r="J1054">
        <v>0</v>
      </c>
      <c r="K1054">
        <v>0</v>
      </c>
      <c r="L1054">
        <v>0</v>
      </c>
    </row>
    <row r="1055" spans="1:12" x14ac:dyDescent="0.35">
      <c r="A1055" t="s">
        <v>487</v>
      </c>
      <c r="B1055" s="7">
        <v>43765.551562499997</v>
      </c>
      <c r="C1055" t="s">
        <v>228</v>
      </c>
      <c r="D1055" t="s">
        <v>229</v>
      </c>
      <c r="E1055">
        <v>1</v>
      </c>
      <c r="F1055" t="s">
        <v>230</v>
      </c>
      <c r="G1055" t="s">
        <v>231</v>
      </c>
      <c r="H1055">
        <v>0</v>
      </c>
      <c r="I1055">
        <v>1</v>
      </c>
      <c r="J1055">
        <v>0</v>
      </c>
      <c r="K1055">
        <v>0</v>
      </c>
      <c r="L1055">
        <v>0</v>
      </c>
    </row>
    <row r="1056" spans="1:12" x14ac:dyDescent="0.35">
      <c r="A1056" t="s">
        <v>486</v>
      </c>
      <c r="B1056" s="7">
        <v>43765.551562499997</v>
      </c>
      <c r="C1056" t="s">
        <v>24</v>
      </c>
      <c r="D1056" t="s">
        <v>34</v>
      </c>
      <c r="E1056">
        <v>1</v>
      </c>
      <c r="F1056" t="s">
        <v>249</v>
      </c>
      <c r="G1056" t="s">
        <v>231</v>
      </c>
      <c r="H1056">
        <v>1</v>
      </c>
      <c r="I1056">
        <v>0</v>
      </c>
      <c r="J1056">
        <v>0</v>
      </c>
      <c r="K1056">
        <v>0</v>
      </c>
      <c r="L1056">
        <v>0</v>
      </c>
    </row>
    <row r="1057" spans="1:12" x14ac:dyDescent="0.35">
      <c r="A1057" t="s">
        <v>486</v>
      </c>
      <c r="B1057" s="7">
        <v>43765.551562499997</v>
      </c>
      <c r="C1057" t="s">
        <v>24</v>
      </c>
      <c r="D1057" t="s">
        <v>229</v>
      </c>
      <c r="E1057">
        <v>1</v>
      </c>
      <c r="F1057" t="s">
        <v>249</v>
      </c>
      <c r="G1057" t="s">
        <v>231</v>
      </c>
      <c r="H1057">
        <v>1</v>
      </c>
      <c r="I1057">
        <v>0</v>
      </c>
      <c r="J1057">
        <v>0</v>
      </c>
      <c r="K1057">
        <v>0</v>
      </c>
      <c r="L1057">
        <v>0</v>
      </c>
    </row>
    <row r="1058" spans="1:12" x14ac:dyDescent="0.35">
      <c r="A1058" t="s">
        <v>486</v>
      </c>
      <c r="B1058" s="7">
        <v>43765.551562499997</v>
      </c>
      <c r="C1058" t="s">
        <v>24</v>
      </c>
      <c r="D1058" t="s">
        <v>229</v>
      </c>
      <c r="E1058">
        <v>1</v>
      </c>
      <c r="F1058" t="s">
        <v>240</v>
      </c>
      <c r="G1058" t="s">
        <v>237</v>
      </c>
      <c r="H1058">
        <v>1</v>
      </c>
      <c r="I1058">
        <v>0</v>
      </c>
      <c r="J1058">
        <v>0</v>
      </c>
      <c r="K1058">
        <v>0</v>
      </c>
      <c r="L1058">
        <v>0</v>
      </c>
    </row>
    <row r="1059" spans="1:12" x14ac:dyDescent="0.35">
      <c r="A1059" t="s">
        <v>486</v>
      </c>
      <c r="B1059" s="7">
        <v>43765.551562499997</v>
      </c>
      <c r="C1059" t="s">
        <v>24</v>
      </c>
      <c r="D1059" t="s">
        <v>233</v>
      </c>
      <c r="E1059">
        <v>1</v>
      </c>
      <c r="F1059" t="s">
        <v>240</v>
      </c>
      <c r="G1059" t="s">
        <v>237</v>
      </c>
      <c r="H1059">
        <v>1</v>
      </c>
      <c r="I1059">
        <v>0</v>
      </c>
      <c r="J1059">
        <v>0</v>
      </c>
      <c r="K1059">
        <v>0</v>
      </c>
      <c r="L1059">
        <v>0</v>
      </c>
    </row>
    <row r="1060" spans="1:12" x14ac:dyDescent="0.35">
      <c r="A1060" t="s">
        <v>486</v>
      </c>
      <c r="B1060" s="7">
        <v>43765.551562499997</v>
      </c>
      <c r="C1060" t="s">
        <v>24</v>
      </c>
      <c r="D1060" t="s">
        <v>229</v>
      </c>
      <c r="E1060">
        <v>1</v>
      </c>
      <c r="F1060" t="s">
        <v>240</v>
      </c>
      <c r="G1060" t="s">
        <v>237</v>
      </c>
      <c r="H1060">
        <v>1</v>
      </c>
      <c r="I1060">
        <v>0</v>
      </c>
      <c r="J1060">
        <v>0</v>
      </c>
      <c r="K1060">
        <v>0</v>
      </c>
      <c r="L1060">
        <v>0</v>
      </c>
    </row>
    <row r="1061" spans="1:12" x14ac:dyDescent="0.35">
      <c r="A1061" t="s">
        <v>486</v>
      </c>
      <c r="B1061" s="7">
        <v>43765.551562499997</v>
      </c>
      <c r="C1061" t="s">
        <v>24</v>
      </c>
      <c r="D1061" t="s">
        <v>229</v>
      </c>
      <c r="E1061">
        <v>1</v>
      </c>
      <c r="F1061" t="s">
        <v>242</v>
      </c>
      <c r="G1061" t="s">
        <v>231</v>
      </c>
      <c r="H1061">
        <v>1</v>
      </c>
      <c r="I1061">
        <v>0</v>
      </c>
      <c r="J1061">
        <v>0</v>
      </c>
      <c r="K1061">
        <v>0</v>
      </c>
      <c r="L1061">
        <v>0</v>
      </c>
    </row>
    <row r="1062" spans="1:12" x14ac:dyDescent="0.35">
      <c r="A1062" t="s">
        <v>488</v>
      </c>
      <c r="B1062" s="7">
        <v>43766.551562499997</v>
      </c>
      <c r="C1062" t="s">
        <v>228</v>
      </c>
      <c r="D1062" t="s">
        <v>233</v>
      </c>
      <c r="E1062">
        <v>1</v>
      </c>
      <c r="F1062" t="s">
        <v>230</v>
      </c>
      <c r="G1062" t="s">
        <v>231</v>
      </c>
      <c r="H1062">
        <v>0</v>
      </c>
      <c r="I1062">
        <v>1</v>
      </c>
      <c r="J1062">
        <v>0</v>
      </c>
      <c r="K1062">
        <v>0</v>
      </c>
      <c r="L1062">
        <v>0</v>
      </c>
    </row>
    <row r="1063" spans="1:12" x14ac:dyDescent="0.35">
      <c r="A1063" t="s">
        <v>488</v>
      </c>
      <c r="B1063" s="7">
        <v>43766.551562499997</v>
      </c>
      <c r="C1063" t="s">
        <v>228</v>
      </c>
      <c r="D1063" t="s">
        <v>229</v>
      </c>
      <c r="E1063">
        <v>1</v>
      </c>
      <c r="F1063" t="s">
        <v>230</v>
      </c>
      <c r="G1063" t="s">
        <v>231</v>
      </c>
      <c r="H1063">
        <v>0</v>
      </c>
      <c r="I1063">
        <v>1</v>
      </c>
      <c r="J1063">
        <v>0</v>
      </c>
      <c r="K1063">
        <v>0</v>
      </c>
      <c r="L1063">
        <v>0</v>
      </c>
    </row>
    <row r="1064" spans="1:12" x14ac:dyDescent="0.35">
      <c r="A1064" t="s">
        <v>488</v>
      </c>
      <c r="B1064" s="7">
        <v>43766.551562499997</v>
      </c>
      <c r="C1064" t="s">
        <v>228</v>
      </c>
      <c r="D1064" t="s">
        <v>238</v>
      </c>
      <c r="E1064">
        <v>1</v>
      </c>
      <c r="F1064" t="s">
        <v>249</v>
      </c>
      <c r="G1064" t="s">
        <v>231</v>
      </c>
      <c r="H1064">
        <v>0</v>
      </c>
      <c r="I1064">
        <v>1</v>
      </c>
      <c r="J1064">
        <v>0</v>
      </c>
      <c r="K1064">
        <v>0</v>
      </c>
      <c r="L1064">
        <v>0</v>
      </c>
    </row>
    <row r="1065" spans="1:12" x14ac:dyDescent="0.35">
      <c r="A1065" t="s">
        <v>489</v>
      </c>
      <c r="B1065" s="7">
        <v>43766.551562499997</v>
      </c>
      <c r="C1065" t="s">
        <v>24</v>
      </c>
      <c r="D1065" t="s">
        <v>34</v>
      </c>
      <c r="E1065">
        <v>1</v>
      </c>
      <c r="F1065" t="s">
        <v>249</v>
      </c>
      <c r="G1065" t="s">
        <v>231</v>
      </c>
      <c r="H1065">
        <v>1</v>
      </c>
      <c r="I1065">
        <v>0</v>
      </c>
      <c r="J1065">
        <v>0</v>
      </c>
      <c r="K1065">
        <v>0</v>
      </c>
      <c r="L1065">
        <v>0</v>
      </c>
    </row>
    <row r="1066" spans="1:12" x14ac:dyDescent="0.35">
      <c r="A1066" t="s">
        <v>489</v>
      </c>
      <c r="B1066" s="7">
        <v>43766.551562499997</v>
      </c>
      <c r="C1066" t="s">
        <v>24</v>
      </c>
      <c r="D1066" t="s">
        <v>233</v>
      </c>
      <c r="E1066">
        <v>1</v>
      </c>
      <c r="F1066" t="s">
        <v>236</v>
      </c>
      <c r="G1066" t="s">
        <v>237</v>
      </c>
      <c r="H1066">
        <v>1</v>
      </c>
      <c r="I1066">
        <v>0</v>
      </c>
      <c r="J1066">
        <v>0</v>
      </c>
      <c r="K1066">
        <v>0</v>
      </c>
      <c r="L1066">
        <v>0</v>
      </c>
    </row>
    <row r="1067" spans="1:12" x14ac:dyDescent="0.35">
      <c r="A1067" t="s">
        <v>489</v>
      </c>
      <c r="B1067" s="7">
        <v>43766.551562499997</v>
      </c>
      <c r="C1067" t="s">
        <v>24</v>
      </c>
      <c r="D1067" t="s">
        <v>238</v>
      </c>
      <c r="E1067">
        <v>1</v>
      </c>
      <c r="F1067" t="s">
        <v>236</v>
      </c>
      <c r="G1067" t="s">
        <v>237</v>
      </c>
      <c r="H1067">
        <v>1</v>
      </c>
      <c r="I1067">
        <v>0</v>
      </c>
      <c r="J1067">
        <v>0</v>
      </c>
      <c r="K1067">
        <v>0</v>
      </c>
      <c r="L1067">
        <v>0</v>
      </c>
    </row>
    <row r="1068" spans="1:12" x14ac:dyDescent="0.35">
      <c r="A1068" t="s">
        <v>489</v>
      </c>
      <c r="B1068" s="7">
        <v>43766.551562499997</v>
      </c>
      <c r="C1068" t="s">
        <v>24</v>
      </c>
      <c r="D1068" t="s">
        <v>235</v>
      </c>
      <c r="E1068">
        <v>1</v>
      </c>
      <c r="F1068" t="s">
        <v>239</v>
      </c>
      <c r="G1068" t="s">
        <v>237</v>
      </c>
      <c r="H1068">
        <v>1</v>
      </c>
      <c r="I1068">
        <v>0</v>
      </c>
      <c r="J1068">
        <v>0</v>
      </c>
      <c r="K1068">
        <v>0</v>
      </c>
      <c r="L1068">
        <v>0</v>
      </c>
    </row>
    <row r="1069" spans="1:12" x14ac:dyDescent="0.35">
      <c r="A1069" t="s">
        <v>488</v>
      </c>
      <c r="B1069" s="7">
        <v>43766.551562499997</v>
      </c>
      <c r="C1069" t="s">
        <v>228</v>
      </c>
      <c r="D1069" t="s">
        <v>235</v>
      </c>
      <c r="E1069">
        <v>1</v>
      </c>
      <c r="F1069" t="s">
        <v>239</v>
      </c>
      <c r="G1069" t="s">
        <v>237</v>
      </c>
      <c r="H1069">
        <v>0</v>
      </c>
      <c r="I1069">
        <v>1</v>
      </c>
      <c r="J1069">
        <v>0</v>
      </c>
      <c r="K1069">
        <v>0</v>
      </c>
      <c r="L1069">
        <v>0</v>
      </c>
    </row>
    <row r="1070" spans="1:12" x14ac:dyDescent="0.35">
      <c r="A1070" t="s">
        <v>490</v>
      </c>
      <c r="B1070" s="7">
        <v>43766.551562499997</v>
      </c>
      <c r="C1070" t="s">
        <v>108</v>
      </c>
      <c r="D1070" t="s">
        <v>34</v>
      </c>
      <c r="E1070">
        <v>1</v>
      </c>
      <c r="F1070" t="s">
        <v>242</v>
      </c>
      <c r="G1070" t="s">
        <v>231</v>
      </c>
      <c r="H1070">
        <v>0</v>
      </c>
      <c r="I1070">
        <v>0</v>
      </c>
      <c r="J1070">
        <v>1</v>
      </c>
      <c r="K1070">
        <v>0</v>
      </c>
      <c r="L1070">
        <v>0</v>
      </c>
    </row>
    <row r="1071" spans="1:12" x14ac:dyDescent="0.35">
      <c r="A1071" t="s">
        <v>491</v>
      </c>
      <c r="B1071" s="7">
        <v>43767.551562499997</v>
      </c>
      <c r="C1071" t="s">
        <v>24</v>
      </c>
      <c r="D1071" t="s">
        <v>238</v>
      </c>
      <c r="E1071">
        <v>1</v>
      </c>
      <c r="F1071" t="s">
        <v>230</v>
      </c>
      <c r="G1071" t="s">
        <v>231</v>
      </c>
      <c r="H1071">
        <v>1</v>
      </c>
      <c r="I1071">
        <v>0</v>
      </c>
      <c r="J1071">
        <v>0</v>
      </c>
      <c r="K1071">
        <v>0</v>
      </c>
      <c r="L1071">
        <v>0</v>
      </c>
    </row>
    <row r="1072" spans="1:12" x14ac:dyDescent="0.35">
      <c r="A1072" t="s">
        <v>491</v>
      </c>
      <c r="B1072" s="7">
        <v>43767.551562499997</v>
      </c>
      <c r="C1072" t="s">
        <v>24</v>
      </c>
      <c r="D1072" t="s">
        <v>31</v>
      </c>
      <c r="E1072">
        <v>1</v>
      </c>
      <c r="F1072" t="s">
        <v>230</v>
      </c>
      <c r="G1072" t="s">
        <v>231</v>
      </c>
      <c r="H1072">
        <v>1</v>
      </c>
      <c r="I1072">
        <v>0</v>
      </c>
      <c r="J1072">
        <v>0</v>
      </c>
      <c r="K1072">
        <v>0</v>
      </c>
      <c r="L1072">
        <v>0</v>
      </c>
    </row>
    <row r="1073" spans="1:12" x14ac:dyDescent="0.35">
      <c r="A1073" t="s">
        <v>491</v>
      </c>
      <c r="B1073" s="7">
        <v>43767.551562499997</v>
      </c>
      <c r="C1073" t="s">
        <v>24</v>
      </c>
      <c r="D1073" t="s">
        <v>233</v>
      </c>
      <c r="E1073">
        <v>1</v>
      </c>
      <c r="F1073" t="s">
        <v>236</v>
      </c>
      <c r="G1073" t="s">
        <v>237</v>
      </c>
      <c r="H1073">
        <v>1</v>
      </c>
      <c r="I1073">
        <v>0</v>
      </c>
      <c r="J1073">
        <v>0</v>
      </c>
      <c r="K1073">
        <v>0</v>
      </c>
      <c r="L1073">
        <v>0</v>
      </c>
    </row>
    <row r="1074" spans="1:12" x14ac:dyDescent="0.35">
      <c r="A1074" t="s">
        <v>491</v>
      </c>
      <c r="B1074" s="7">
        <v>43767.551562499997</v>
      </c>
      <c r="C1074" t="s">
        <v>24</v>
      </c>
      <c r="D1074" t="s">
        <v>34</v>
      </c>
      <c r="E1074">
        <v>1</v>
      </c>
      <c r="F1074" t="s">
        <v>239</v>
      </c>
      <c r="G1074" t="s">
        <v>237</v>
      </c>
      <c r="H1074">
        <v>1</v>
      </c>
      <c r="I1074">
        <v>0</v>
      </c>
      <c r="J1074">
        <v>0</v>
      </c>
      <c r="K1074">
        <v>0</v>
      </c>
      <c r="L1074">
        <v>0</v>
      </c>
    </row>
    <row r="1075" spans="1:12" x14ac:dyDescent="0.35">
      <c r="A1075" t="s">
        <v>492</v>
      </c>
      <c r="B1075" s="7">
        <v>43767.551562499997</v>
      </c>
      <c r="C1075" t="s">
        <v>228</v>
      </c>
      <c r="D1075" t="s">
        <v>34</v>
      </c>
      <c r="E1075">
        <v>1</v>
      </c>
      <c r="F1075" t="s">
        <v>239</v>
      </c>
      <c r="G1075" t="s">
        <v>237</v>
      </c>
      <c r="H1075">
        <v>0</v>
      </c>
      <c r="I1075">
        <v>1</v>
      </c>
      <c r="J1075">
        <v>0</v>
      </c>
      <c r="K1075">
        <v>0</v>
      </c>
      <c r="L1075">
        <v>0</v>
      </c>
    </row>
    <row r="1076" spans="1:12" x14ac:dyDescent="0.35">
      <c r="A1076" t="s">
        <v>491</v>
      </c>
      <c r="B1076" s="7">
        <v>43767.551562499997</v>
      </c>
      <c r="C1076" t="s">
        <v>24</v>
      </c>
      <c r="D1076" t="s">
        <v>233</v>
      </c>
      <c r="E1076">
        <v>1</v>
      </c>
      <c r="F1076" t="s">
        <v>240</v>
      </c>
      <c r="G1076" t="s">
        <v>237</v>
      </c>
      <c r="H1076">
        <v>1</v>
      </c>
      <c r="I1076">
        <v>0</v>
      </c>
      <c r="J1076">
        <v>0</v>
      </c>
      <c r="K1076">
        <v>0</v>
      </c>
      <c r="L1076">
        <v>0</v>
      </c>
    </row>
    <row r="1077" spans="1:12" x14ac:dyDescent="0.35">
      <c r="A1077" t="s">
        <v>491</v>
      </c>
      <c r="B1077" s="7">
        <v>43767.551562499997</v>
      </c>
      <c r="C1077" t="s">
        <v>24</v>
      </c>
      <c r="D1077" t="s">
        <v>235</v>
      </c>
      <c r="E1077">
        <v>1</v>
      </c>
      <c r="F1077" t="s">
        <v>242</v>
      </c>
      <c r="G1077" t="s">
        <v>231</v>
      </c>
      <c r="H1077">
        <v>1</v>
      </c>
      <c r="I1077">
        <v>0</v>
      </c>
      <c r="J1077">
        <v>0</v>
      </c>
      <c r="K1077">
        <v>0</v>
      </c>
      <c r="L1077">
        <v>0</v>
      </c>
    </row>
    <row r="1078" spans="1:12" x14ac:dyDescent="0.35">
      <c r="A1078" t="s">
        <v>493</v>
      </c>
      <c r="B1078" s="7">
        <v>43768.551562499997</v>
      </c>
      <c r="C1078" t="s">
        <v>108</v>
      </c>
      <c r="D1078" t="s">
        <v>31</v>
      </c>
      <c r="E1078">
        <v>1</v>
      </c>
      <c r="F1078" t="s">
        <v>230</v>
      </c>
      <c r="G1078" t="s">
        <v>231</v>
      </c>
      <c r="H1078">
        <v>0</v>
      </c>
      <c r="I1078">
        <v>0</v>
      </c>
      <c r="J1078">
        <v>1</v>
      </c>
      <c r="K1078">
        <v>0</v>
      </c>
      <c r="L1078">
        <v>0</v>
      </c>
    </row>
    <row r="1079" spans="1:12" x14ac:dyDescent="0.35">
      <c r="A1079" t="s">
        <v>494</v>
      </c>
      <c r="B1079" s="7">
        <v>43768.551562499997</v>
      </c>
      <c r="C1079" t="s">
        <v>24</v>
      </c>
      <c r="D1079" t="s">
        <v>34</v>
      </c>
      <c r="E1079">
        <v>1</v>
      </c>
      <c r="F1079" t="s">
        <v>249</v>
      </c>
      <c r="G1079" t="s">
        <v>231</v>
      </c>
      <c r="H1079">
        <v>1</v>
      </c>
      <c r="I1079">
        <v>0</v>
      </c>
      <c r="J1079">
        <v>0</v>
      </c>
      <c r="K1079">
        <v>0</v>
      </c>
      <c r="L1079">
        <v>0</v>
      </c>
    </row>
    <row r="1080" spans="1:12" x14ac:dyDescent="0.35">
      <c r="A1080" t="s">
        <v>494</v>
      </c>
      <c r="B1080" s="7">
        <v>43768.551562499997</v>
      </c>
      <c r="C1080" t="s">
        <v>24</v>
      </c>
      <c r="D1080" t="s">
        <v>233</v>
      </c>
      <c r="E1080">
        <v>1</v>
      </c>
      <c r="F1080" t="s">
        <v>236</v>
      </c>
      <c r="G1080" t="s">
        <v>237</v>
      </c>
      <c r="H1080">
        <v>1</v>
      </c>
      <c r="I1080">
        <v>0</v>
      </c>
      <c r="J1080">
        <v>0</v>
      </c>
      <c r="K1080">
        <v>0</v>
      </c>
      <c r="L1080">
        <v>0</v>
      </c>
    </row>
    <row r="1081" spans="1:12" x14ac:dyDescent="0.35">
      <c r="A1081" t="s">
        <v>495</v>
      </c>
      <c r="B1081" s="7">
        <v>43768.551562499997</v>
      </c>
      <c r="C1081" t="s">
        <v>228</v>
      </c>
      <c r="D1081" t="s">
        <v>34</v>
      </c>
      <c r="E1081">
        <v>1</v>
      </c>
      <c r="F1081" t="s">
        <v>236</v>
      </c>
      <c r="G1081" t="s">
        <v>237</v>
      </c>
      <c r="H1081">
        <v>0</v>
      </c>
      <c r="I1081">
        <v>1</v>
      </c>
      <c r="J1081">
        <v>0</v>
      </c>
      <c r="K1081">
        <v>0</v>
      </c>
      <c r="L1081">
        <v>0</v>
      </c>
    </row>
    <row r="1082" spans="1:12" x14ac:dyDescent="0.35">
      <c r="A1082" t="s">
        <v>496</v>
      </c>
      <c r="B1082" s="7">
        <v>43768.551562499997</v>
      </c>
      <c r="C1082" t="s">
        <v>85</v>
      </c>
      <c r="D1082" t="s">
        <v>229</v>
      </c>
      <c r="E1082">
        <v>1</v>
      </c>
      <c r="F1082" t="s">
        <v>236</v>
      </c>
      <c r="G1082" t="s">
        <v>237</v>
      </c>
      <c r="H1082">
        <v>0</v>
      </c>
      <c r="I1082">
        <v>0</v>
      </c>
      <c r="J1082">
        <v>0</v>
      </c>
      <c r="K1082">
        <v>1</v>
      </c>
      <c r="L1082">
        <v>0</v>
      </c>
    </row>
    <row r="1083" spans="1:12" x14ac:dyDescent="0.35">
      <c r="A1083" t="s">
        <v>494</v>
      </c>
      <c r="B1083" s="7">
        <v>43768.551562499997</v>
      </c>
      <c r="C1083" t="s">
        <v>24</v>
      </c>
      <c r="D1083" t="s">
        <v>229</v>
      </c>
      <c r="E1083">
        <v>1</v>
      </c>
      <c r="F1083" t="s">
        <v>236</v>
      </c>
      <c r="G1083" t="s">
        <v>237</v>
      </c>
      <c r="H1083">
        <v>1</v>
      </c>
      <c r="I1083">
        <v>0</v>
      </c>
      <c r="J1083">
        <v>0</v>
      </c>
      <c r="K1083">
        <v>0</v>
      </c>
      <c r="L1083">
        <v>0</v>
      </c>
    </row>
    <row r="1084" spans="1:12" x14ac:dyDescent="0.35">
      <c r="A1084" t="s">
        <v>494</v>
      </c>
      <c r="B1084" s="7">
        <v>43768.551562499997</v>
      </c>
      <c r="C1084" t="s">
        <v>24</v>
      </c>
      <c r="D1084" t="s">
        <v>238</v>
      </c>
      <c r="E1084">
        <v>1</v>
      </c>
      <c r="F1084" t="s">
        <v>239</v>
      </c>
      <c r="G1084" t="s">
        <v>237</v>
      </c>
      <c r="H1084">
        <v>1</v>
      </c>
      <c r="I1084">
        <v>0</v>
      </c>
      <c r="J1084">
        <v>0</v>
      </c>
      <c r="K1084">
        <v>0</v>
      </c>
      <c r="L1084">
        <v>0</v>
      </c>
    </row>
    <row r="1085" spans="1:12" x14ac:dyDescent="0.35">
      <c r="A1085" t="s">
        <v>494</v>
      </c>
      <c r="B1085" s="7">
        <v>43768.551562499997</v>
      </c>
      <c r="C1085" t="s">
        <v>24</v>
      </c>
      <c r="D1085" t="s">
        <v>229</v>
      </c>
      <c r="E1085">
        <v>1</v>
      </c>
      <c r="F1085" t="s">
        <v>239</v>
      </c>
      <c r="G1085" t="s">
        <v>237</v>
      </c>
      <c r="H1085">
        <v>1</v>
      </c>
      <c r="I1085">
        <v>0</v>
      </c>
      <c r="J1085">
        <v>0</v>
      </c>
      <c r="K1085">
        <v>0</v>
      </c>
      <c r="L1085">
        <v>0</v>
      </c>
    </row>
    <row r="1086" spans="1:12" x14ac:dyDescent="0.35">
      <c r="A1086" t="s">
        <v>494</v>
      </c>
      <c r="B1086" s="7">
        <v>43768.551562499997</v>
      </c>
      <c r="C1086" t="s">
        <v>24</v>
      </c>
      <c r="D1086" t="s">
        <v>233</v>
      </c>
      <c r="E1086">
        <v>1</v>
      </c>
      <c r="F1086" t="s">
        <v>239</v>
      </c>
      <c r="G1086" t="s">
        <v>237</v>
      </c>
      <c r="H1086">
        <v>1</v>
      </c>
      <c r="I1086">
        <v>0</v>
      </c>
      <c r="J1086">
        <v>0</v>
      </c>
      <c r="K1086">
        <v>0</v>
      </c>
      <c r="L1086">
        <v>0</v>
      </c>
    </row>
    <row r="1087" spans="1:12" x14ac:dyDescent="0.35">
      <c r="A1087" t="s">
        <v>495</v>
      </c>
      <c r="B1087" s="7">
        <v>43768.551562499997</v>
      </c>
      <c r="C1087" t="s">
        <v>228</v>
      </c>
      <c r="D1087" t="s">
        <v>235</v>
      </c>
      <c r="E1087">
        <v>1</v>
      </c>
      <c r="F1087" t="s">
        <v>239</v>
      </c>
      <c r="G1087" t="s">
        <v>237</v>
      </c>
      <c r="H1087">
        <v>0</v>
      </c>
      <c r="I1087">
        <v>1</v>
      </c>
      <c r="J1087">
        <v>0</v>
      </c>
      <c r="K1087">
        <v>0</v>
      </c>
      <c r="L1087">
        <v>0</v>
      </c>
    </row>
    <row r="1088" spans="1:12" x14ac:dyDescent="0.35">
      <c r="A1088" t="s">
        <v>494</v>
      </c>
      <c r="B1088" s="7">
        <v>43768.551562499997</v>
      </c>
      <c r="C1088" t="s">
        <v>24</v>
      </c>
      <c r="D1088" t="s">
        <v>229</v>
      </c>
      <c r="E1088">
        <v>1</v>
      </c>
      <c r="F1088" t="s">
        <v>240</v>
      </c>
      <c r="G1088" t="s">
        <v>237</v>
      </c>
      <c r="H1088">
        <v>1</v>
      </c>
      <c r="I1088">
        <v>0</v>
      </c>
      <c r="J1088">
        <v>0</v>
      </c>
      <c r="K1088">
        <v>0</v>
      </c>
      <c r="L1088">
        <v>0</v>
      </c>
    </row>
    <row r="1089" spans="1:12" x14ac:dyDescent="0.35">
      <c r="A1089" t="s">
        <v>495</v>
      </c>
      <c r="B1089" s="7">
        <v>43768.551562499997</v>
      </c>
      <c r="C1089" t="s">
        <v>228</v>
      </c>
      <c r="D1089" t="s">
        <v>31</v>
      </c>
      <c r="E1089">
        <v>1</v>
      </c>
      <c r="F1089" t="s">
        <v>240</v>
      </c>
      <c r="G1089" t="s">
        <v>237</v>
      </c>
      <c r="H1089">
        <v>0</v>
      </c>
      <c r="I1089">
        <v>1</v>
      </c>
      <c r="J1089">
        <v>0</v>
      </c>
      <c r="K1089">
        <v>0</v>
      </c>
      <c r="L1089">
        <v>0</v>
      </c>
    </row>
    <row r="1090" spans="1:12" x14ac:dyDescent="0.35">
      <c r="A1090" t="s">
        <v>494</v>
      </c>
      <c r="B1090" s="7">
        <v>43768.551562499997</v>
      </c>
      <c r="C1090" t="s">
        <v>24</v>
      </c>
      <c r="D1090" t="s">
        <v>31</v>
      </c>
      <c r="E1090">
        <v>1</v>
      </c>
      <c r="F1090" t="s">
        <v>240</v>
      </c>
      <c r="G1090" t="s">
        <v>237</v>
      </c>
      <c r="H1090">
        <v>1</v>
      </c>
      <c r="I1090">
        <v>0</v>
      </c>
      <c r="J1090">
        <v>0</v>
      </c>
      <c r="K1090">
        <v>0</v>
      </c>
      <c r="L1090">
        <v>0</v>
      </c>
    </row>
    <row r="1091" spans="1:12" x14ac:dyDescent="0.35">
      <c r="A1091" t="s">
        <v>494</v>
      </c>
      <c r="B1091" s="7">
        <v>43768.551562499997</v>
      </c>
      <c r="C1091" t="s">
        <v>24</v>
      </c>
      <c r="D1091" t="s">
        <v>229</v>
      </c>
      <c r="E1091">
        <v>1</v>
      </c>
      <c r="F1091" t="s">
        <v>242</v>
      </c>
      <c r="G1091" t="s">
        <v>231</v>
      </c>
      <c r="H1091">
        <v>1</v>
      </c>
      <c r="I1091">
        <v>0</v>
      </c>
      <c r="J1091">
        <v>0</v>
      </c>
      <c r="K1091">
        <v>0</v>
      </c>
      <c r="L1091">
        <v>0</v>
      </c>
    </row>
    <row r="1092" spans="1:12" x14ac:dyDescent="0.35">
      <c r="A1092" t="s">
        <v>506</v>
      </c>
      <c r="B1092" s="7">
        <v>43752.541666666664</v>
      </c>
      <c r="C1092" t="s">
        <v>85</v>
      </c>
      <c r="D1092" t="s">
        <v>136</v>
      </c>
      <c r="E1092">
        <v>1</v>
      </c>
      <c r="F1092" t="s">
        <v>26</v>
      </c>
      <c r="G1092" t="s">
        <v>27</v>
      </c>
      <c r="H1092">
        <v>0</v>
      </c>
      <c r="I1092">
        <v>0</v>
      </c>
      <c r="J1092">
        <v>0</v>
      </c>
      <c r="K1092">
        <v>1</v>
      </c>
      <c r="L1092">
        <v>0</v>
      </c>
    </row>
    <row r="1093" spans="1:12" x14ac:dyDescent="0.35">
      <c r="A1093" t="s">
        <v>507</v>
      </c>
      <c r="B1093" s="7">
        <v>43752.541701388887</v>
      </c>
      <c r="C1093" t="s">
        <v>24</v>
      </c>
      <c r="D1093" t="s">
        <v>34</v>
      </c>
      <c r="E1093">
        <v>1</v>
      </c>
      <c r="F1093" t="s">
        <v>26</v>
      </c>
      <c r="G1093" t="s">
        <v>27</v>
      </c>
      <c r="H1093">
        <v>1</v>
      </c>
      <c r="I1093">
        <v>0</v>
      </c>
      <c r="J1093">
        <v>0</v>
      </c>
      <c r="K1093">
        <v>0</v>
      </c>
      <c r="L1093">
        <v>0</v>
      </c>
    </row>
    <row r="1094" spans="1:12" x14ac:dyDescent="0.35">
      <c r="A1094" t="s">
        <v>508</v>
      </c>
      <c r="B1094" s="7">
        <v>43752.541747685187</v>
      </c>
      <c r="C1094" t="s">
        <v>85</v>
      </c>
      <c r="D1094" t="s">
        <v>34</v>
      </c>
      <c r="E1094">
        <v>1</v>
      </c>
      <c r="F1094" t="s">
        <v>26</v>
      </c>
      <c r="G1094" t="s">
        <v>27</v>
      </c>
      <c r="H1094">
        <v>0</v>
      </c>
      <c r="I1094">
        <v>0</v>
      </c>
      <c r="J1094">
        <v>0</v>
      </c>
      <c r="K1094">
        <v>1</v>
      </c>
      <c r="L1094">
        <v>0</v>
      </c>
    </row>
    <row r="1095" spans="1:12" x14ac:dyDescent="0.35">
      <c r="A1095" t="s">
        <v>509</v>
      </c>
      <c r="B1095" s="7">
        <v>43752.557893518519</v>
      </c>
      <c r="C1095" t="s">
        <v>108</v>
      </c>
      <c r="D1095" t="s">
        <v>34</v>
      </c>
      <c r="E1095">
        <v>1</v>
      </c>
      <c r="F1095" t="s">
        <v>26</v>
      </c>
      <c r="G1095" t="s">
        <v>27</v>
      </c>
      <c r="H1095">
        <v>0</v>
      </c>
      <c r="I1095">
        <v>0</v>
      </c>
      <c r="J1095">
        <v>1</v>
      </c>
      <c r="K1095">
        <v>0</v>
      </c>
      <c r="L1095">
        <v>0</v>
      </c>
    </row>
    <row r="1096" spans="1:12" x14ac:dyDescent="0.35">
      <c r="A1096" t="s">
        <v>510</v>
      </c>
      <c r="B1096" s="7">
        <v>43752.562152777777</v>
      </c>
      <c r="C1096" t="s">
        <v>85</v>
      </c>
      <c r="D1096" t="s">
        <v>34</v>
      </c>
      <c r="E1096">
        <v>1</v>
      </c>
      <c r="F1096" t="s">
        <v>26</v>
      </c>
      <c r="G1096" t="s">
        <v>27</v>
      </c>
      <c r="H1096">
        <v>0</v>
      </c>
      <c r="I1096">
        <v>0</v>
      </c>
      <c r="J1096">
        <v>0</v>
      </c>
      <c r="K1096">
        <v>1</v>
      </c>
      <c r="L1096">
        <v>0</v>
      </c>
    </row>
    <row r="1097" spans="1:12" x14ac:dyDescent="0.35">
      <c r="A1097" t="s">
        <v>511</v>
      </c>
      <c r="B1097" s="7">
        <v>43752.570532407408</v>
      </c>
      <c r="C1097" t="s">
        <v>85</v>
      </c>
      <c r="D1097" t="s">
        <v>34</v>
      </c>
      <c r="E1097">
        <v>1</v>
      </c>
      <c r="F1097" t="s">
        <v>26</v>
      </c>
      <c r="G1097" t="s">
        <v>27</v>
      </c>
      <c r="H1097">
        <v>0</v>
      </c>
      <c r="I1097">
        <v>0</v>
      </c>
      <c r="J1097">
        <v>0</v>
      </c>
      <c r="K1097">
        <v>1</v>
      </c>
      <c r="L1097">
        <v>0</v>
      </c>
    </row>
    <row r="1098" spans="1:12" x14ac:dyDescent="0.35">
      <c r="A1098" t="s">
        <v>512</v>
      </c>
      <c r="B1098" s="7">
        <v>43752.571296296293</v>
      </c>
      <c r="C1098" t="s">
        <v>85</v>
      </c>
      <c r="D1098" t="s">
        <v>34</v>
      </c>
      <c r="E1098">
        <v>1</v>
      </c>
      <c r="F1098" t="s">
        <v>26</v>
      </c>
      <c r="G1098" t="s">
        <v>27</v>
      </c>
      <c r="H1098">
        <v>0</v>
      </c>
      <c r="I1098">
        <v>0</v>
      </c>
      <c r="J1098">
        <v>0</v>
      </c>
      <c r="K1098">
        <v>1</v>
      </c>
      <c r="L1098">
        <v>0</v>
      </c>
    </row>
    <row r="1099" spans="1:12" x14ac:dyDescent="0.35">
      <c r="A1099" t="s">
        <v>513</v>
      </c>
      <c r="B1099" s="7">
        <v>43752.571967592594</v>
      </c>
      <c r="C1099" t="s">
        <v>85</v>
      </c>
      <c r="D1099" t="s">
        <v>34</v>
      </c>
      <c r="E1099">
        <v>1</v>
      </c>
      <c r="F1099" t="s">
        <v>26</v>
      </c>
      <c r="G1099" t="s">
        <v>27</v>
      </c>
      <c r="H1099">
        <v>0</v>
      </c>
      <c r="I1099">
        <v>0</v>
      </c>
      <c r="J1099">
        <v>0</v>
      </c>
      <c r="K1099">
        <v>1</v>
      </c>
      <c r="L1099">
        <v>0</v>
      </c>
    </row>
    <row r="1100" spans="1:12" x14ac:dyDescent="0.35">
      <c r="A1100" t="s">
        <v>514</v>
      </c>
      <c r="B1100" s="7">
        <v>43752.572025462963</v>
      </c>
      <c r="C1100" t="s">
        <v>53</v>
      </c>
      <c r="D1100" t="s">
        <v>515</v>
      </c>
      <c r="E1100">
        <v>1</v>
      </c>
      <c r="F1100" t="s">
        <v>26</v>
      </c>
      <c r="G1100" t="s">
        <v>27</v>
      </c>
      <c r="H1100">
        <v>0</v>
      </c>
      <c r="I1100">
        <v>0</v>
      </c>
      <c r="J1100">
        <v>0</v>
      </c>
      <c r="K1100">
        <v>0</v>
      </c>
      <c r="L1100">
        <v>0</v>
      </c>
    </row>
    <row r="1101" spans="1:12" x14ac:dyDescent="0.35">
      <c r="A1101" t="s">
        <v>516</v>
      </c>
      <c r="B1101" s="7">
        <v>43752.572106481479</v>
      </c>
      <c r="C1101" t="s">
        <v>24</v>
      </c>
      <c r="D1101" t="s">
        <v>34</v>
      </c>
      <c r="E1101">
        <v>1</v>
      </c>
      <c r="F1101" t="s">
        <v>26</v>
      </c>
      <c r="G1101" t="s">
        <v>27</v>
      </c>
      <c r="H1101">
        <v>1</v>
      </c>
      <c r="I1101">
        <v>0</v>
      </c>
      <c r="J1101">
        <v>0</v>
      </c>
      <c r="K1101">
        <v>0</v>
      </c>
      <c r="L1101">
        <v>0</v>
      </c>
    </row>
    <row r="1102" spans="1:12" x14ac:dyDescent="0.35">
      <c r="A1102" t="s">
        <v>517</v>
      </c>
      <c r="B1102" s="7">
        <v>43752.572164351855</v>
      </c>
      <c r="C1102" t="s">
        <v>53</v>
      </c>
      <c r="D1102" t="s">
        <v>518</v>
      </c>
      <c r="E1102">
        <v>1</v>
      </c>
      <c r="F1102" t="s">
        <v>26</v>
      </c>
      <c r="G1102" t="s">
        <v>27</v>
      </c>
      <c r="H1102">
        <v>0</v>
      </c>
      <c r="I1102">
        <v>0</v>
      </c>
      <c r="J1102">
        <v>0</v>
      </c>
      <c r="K1102">
        <v>0</v>
      </c>
      <c r="L1102">
        <v>0</v>
      </c>
    </row>
    <row r="1103" spans="1:12" x14ac:dyDescent="0.35">
      <c r="A1103" t="s">
        <v>519</v>
      </c>
      <c r="B1103" s="7">
        <v>43752.572245370371</v>
      </c>
      <c r="C1103" t="s">
        <v>24</v>
      </c>
      <c r="D1103" t="s">
        <v>34</v>
      </c>
      <c r="E1103">
        <v>1</v>
      </c>
      <c r="F1103" t="s">
        <v>26</v>
      </c>
      <c r="G1103" t="s">
        <v>27</v>
      </c>
      <c r="H1103">
        <v>1</v>
      </c>
      <c r="I1103">
        <v>0</v>
      </c>
      <c r="J1103">
        <v>0</v>
      </c>
      <c r="K1103">
        <v>0</v>
      </c>
      <c r="L1103">
        <v>0</v>
      </c>
    </row>
    <row r="1104" spans="1:12" x14ac:dyDescent="0.35">
      <c r="A1104" t="s">
        <v>520</v>
      </c>
      <c r="B1104" s="7">
        <v>43752.572372685187</v>
      </c>
      <c r="C1104" t="s">
        <v>53</v>
      </c>
      <c r="D1104" t="s">
        <v>47</v>
      </c>
      <c r="E1104">
        <v>1</v>
      </c>
      <c r="F1104" t="s">
        <v>26</v>
      </c>
      <c r="G1104" t="s">
        <v>27</v>
      </c>
      <c r="H1104">
        <v>0</v>
      </c>
      <c r="I1104">
        <v>0</v>
      </c>
      <c r="J1104">
        <v>0</v>
      </c>
      <c r="K1104">
        <v>0</v>
      </c>
      <c r="L1104">
        <v>0</v>
      </c>
    </row>
    <row r="1105" spans="1:12" x14ac:dyDescent="0.35">
      <c r="A1105" t="s">
        <v>521</v>
      </c>
      <c r="B1105" s="7">
        <v>43752.572372685187</v>
      </c>
      <c r="C1105" t="s">
        <v>24</v>
      </c>
      <c r="D1105" t="s">
        <v>47</v>
      </c>
      <c r="E1105">
        <v>1</v>
      </c>
      <c r="F1105" t="s">
        <v>26</v>
      </c>
      <c r="G1105" t="s">
        <v>27</v>
      </c>
      <c r="H1105">
        <v>1</v>
      </c>
      <c r="I1105">
        <v>0</v>
      </c>
      <c r="J1105">
        <v>0</v>
      </c>
      <c r="K1105">
        <v>0</v>
      </c>
      <c r="L1105">
        <v>0</v>
      </c>
    </row>
    <row r="1106" spans="1:12" x14ac:dyDescent="0.35">
      <c r="A1106" t="s">
        <v>522</v>
      </c>
      <c r="B1106" s="7">
        <v>43752.584745370368</v>
      </c>
      <c r="C1106" t="s">
        <v>85</v>
      </c>
      <c r="D1106" t="s">
        <v>47</v>
      </c>
      <c r="E1106">
        <v>1</v>
      </c>
      <c r="F1106" t="s">
        <v>26</v>
      </c>
      <c r="G1106" t="s">
        <v>27</v>
      </c>
      <c r="H1106">
        <v>0</v>
      </c>
      <c r="I1106">
        <v>0</v>
      </c>
      <c r="J1106">
        <v>0</v>
      </c>
      <c r="K1106">
        <v>1</v>
      </c>
      <c r="L1106">
        <v>0</v>
      </c>
    </row>
    <row r="1107" spans="1:12" x14ac:dyDescent="0.35">
      <c r="A1107" t="s">
        <v>523</v>
      </c>
      <c r="B1107" s="7">
        <v>43752.584953703707</v>
      </c>
      <c r="C1107" t="s">
        <v>85</v>
      </c>
      <c r="D1107" t="s">
        <v>47</v>
      </c>
      <c r="E1107">
        <v>1</v>
      </c>
      <c r="F1107" t="s">
        <v>26</v>
      </c>
      <c r="G1107" t="s">
        <v>27</v>
      </c>
      <c r="H1107">
        <v>0</v>
      </c>
      <c r="I1107">
        <v>0</v>
      </c>
      <c r="J1107">
        <v>0</v>
      </c>
      <c r="K1107">
        <v>1</v>
      </c>
      <c r="L1107">
        <v>0</v>
      </c>
    </row>
    <row r="1108" spans="1:12" x14ac:dyDescent="0.35">
      <c r="A1108" t="s">
        <v>524</v>
      </c>
      <c r="B1108" s="7">
        <v>43752.585173611114</v>
      </c>
      <c r="C1108" t="s">
        <v>85</v>
      </c>
      <c r="D1108" t="s">
        <v>47</v>
      </c>
      <c r="E1108">
        <v>1</v>
      </c>
      <c r="F1108" t="s">
        <v>26</v>
      </c>
      <c r="G1108" t="s">
        <v>27</v>
      </c>
      <c r="H1108">
        <v>0</v>
      </c>
      <c r="I1108">
        <v>0</v>
      </c>
      <c r="J1108">
        <v>0</v>
      </c>
      <c r="K1108">
        <v>1</v>
      </c>
      <c r="L1108">
        <v>0</v>
      </c>
    </row>
    <row r="1109" spans="1:12" x14ac:dyDescent="0.35">
      <c r="A1109" t="s">
        <v>525</v>
      </c>
      <c r="B1109" s="7">
        <v>43752.585486111115</v>
      </c>
      <c r="C1109" t="s">
        <v>85</v>
      </c>
      <c r="D1109" t="s">
        <v>47</v>
      </c>
      <c r="E1109">
        <v>1</v>
      </c>
      <c r="F1109" t="s">
        <v>26</v>
      </c>
      <c r="G1109" t="s">
        <v>27</v>
      </c>
      <c r="H1109">
        <v>0</v>
      </c>
      <c r="I1109">
        <v>0</v>
      </c>
      <c r="J1109">
        <v>0</v>
      </c>
      <c r="K1109">
        <v>1</v>
      </c>
      <c r="L1109">
        <v>0</v>
      </c>
    </row>
    <row r="1110" spans="1:12" x14ac:dyDescent="0.35">
      <c r="A1110" t="s">
        <v>526</v>
      </c>
      <c r="B1110" s="7">
        <v>43752.586122685185</v>
      </c>
      <c r="C1110" t="s">
        <v>24</v>
      </c>
      <c r="D1110" t="s">
        <v>96</v>
      </c>
      <c r="E1110">
        <v>1</v>
      </c>
      <c r="F1110" t="s">
        <v>26</v>
      </c>
      <c r="G1110" t="s">
        <v>27</v>
      </c>
      <c r="H1110">
        <v>1</v>
      </c>
      <c r="I1110">
        <v>0</v>
      </c>
      <c r="J1110">
        <v>0</v>
      </c>
      <c r="K1110">
        <v>0</v>
      </c>
      <c r="L1110">
        <v>0</v>
      </c>
    </row>
    <row r="1111" spans="1:12" x14ac:dyDescent="0.35">
      <c r="A1111" t="s">
        <v>527</v>
      </c>
      <c r="B1111" s="7">
        <v>43752.586145833331</v>
      </c>
      <c r="C1111" t="s">
        <v>24</v>
      </c>
      <c r="D1111" t="s">
        <v>62</v>
      </c>
      <c r="E1111">
        <v>1</v>
      </c>
      <c r="F1111" t="s">
        <v>26</v>
      </c>
      <c r="G1111" t="s">
        <v>27</v>
      </c>
      <c r="H1111">
        <v>1</v>
      </c>
      <c r="I1111">
        <v>0</v>
      </c>
      <c r="J1111">
        <v>0</v>
      </c>
      <c r="K1111">
        <v>0</v>
      </c>
      <c r="L1111">
        <v>0</v>
      </c>
    </row>
    <row r="1112" spans="1:12" x14ac:dyDescent="0.35">
      <c r="A1112" t="s">
        <v>528</v>
      </c>
      <c r="B1112" s="7">
        <v>43752.586180555554</v>
      </c>
      <c r="C1112" t="s">
        <v>24</v>
      </c>
      <c r="D1112" t="s">
        <v>136</v>
      </c>
      <c r="E1112">
        <v>1</v>
      </c>
      <c r="F1112" t="s">
        <v>26</v>
      </c>
      <c r="G1112" t="s">
        <v>27</v>
      </c>
      <c r="H1112">
        <v>1</v>
      </c>
      <c r="I1112">
        <v>0</v>
      </c>
      <c r="J1112">
        <v>0</v>
      </c>
      <c r="K1112">
        <v>0</v>
      </c>
      <c r="L1112">
        <v>0</v>
      </c>
    </row>
    <row r="1113" spans="1:12" x14ac:dyDescent="0.35">
      <c r="A1113" t="s">
        <v>529</v>
      </c>
      <c r="B1113" s="7">
        <v>43752.794652777775</v>
      </c>
      <c r="C1113" t="s">
        <v>85</v>
      </c>
      <c r="D1113" t="s">
        <v>136</v>
      </c>
      <c r="E1113">
        <v>1</v>
      </c>
      <c r="F1113" t="s">
        <v>26</v>
      </c>
      <c r="G1113" t="s">
        <v>27</v>
      </c>
      <c r="H1113">
        <v>0</v>
      </c>
      <c r="I1113">
        <v>0</v>
      </c>
      <c r="J1113">
        <v>0</v>
      </c>
      <c r="K1113">
        <v>1</v>
      </c>
      <c r="L1113">
        <v>0</v>
      </c>
    </row>
    <row r="1114" spans="1:12" x14ac:dyDescent="0.35">
      <c r="A1114" t="s">
        <v>530</v>
      </c>
      <c r="B1114" s="7">
        <v>43753.543900462966</v>
      </c>
      <c r="C1114" t="s">
        <v>108</v>
      </c>
      <c r="D1114" t="s">
        <v>136</v>
      </c>
      <c r="E1114">
        <v>1</v>
      </c>
      <c r="F1114" t="s">
        <v>26</v>
      </c>
      <c r="G1114" t="s">
        <v>27</v>
      </c>
      <c r="H1114">
        <v>0</v>
      </c>
      <c r="I1114">
        <v>0</v>
      </c>
      <c r="J1114">
        <v>1</v>
      </c>
      <c r="K1114">
        <v>0</v>
      </c>
      <c r="L1114">
        <v>0</v>
      </c>
    </row>
    <row r="1115" spans="1:12" x14ac:dyDescent="0.35">
      <c r="A1115" t="s">
        <v>531</v>
      </c>
      <c r="B1115" s="7">
        <v>43753.545138888891</v>
      </c>
      <c r="C1115" t="s">
        <v>85</v>
      </c>
      <c r="D1115" t="s">
        <v>136</v>
      </c>
      <c r="E1115">
        <v>1</v>
      </c>
      <c r="F1115" t="s">
        <v>26</v>
      </c>
      <c r="G1115" t="s">
        <v>27</v>
      </c>
      <c r="H1115">
        <v>0</v>
      </c>
      <c r="I1115">
        <v>0</v>
      </c>
      <c r="J1115">
        <v>0</v>
      </c>
      <c r="K1115">
        <v>1</v>
      </c>
      <c r="L1115">
        <v>0</v>
      </c>
    </row>
    <row r="1116" spans="1:12" x14ac:dyDescent="0.35">
      <c r="A1116" t="s">
        <v>532</v>
      </c>
      <c r="B1116" s="7">
        <v>43753.545393518521</v>
      </c>
      <c r="C1116" t="s">
        <v>85</v>
      </c>
      <c r="D1116" t="s">
        <v>136</v>
      </c>
      <c r="E1116">
        <v>1</v>
      </c>
      <c r="F1116" t="s">
        <v>26</v>
      </c>
      <c r="G1116" t="s">
        <v>27</v>
      </c>
      <c r="H1116">
        <v>0</v>
      </c>
      <c r="I1116">
        <v>0</v>
      </c>
      <c r="J1116">
        <v>0</v>
      </c>
      <c r="K1116">
        <v>1</v>
      </c>
      <c r="L1116">
        <v>0</v>
      </c>
    </row>
    <row r="1117" spans="1:12" x14ac:dyDescent="0.35">
      <c r="A1117" t="s">
        <v>533</v>
      </c>
      <c r="B1117" s="7">
        <v>43753.545543981483</v>
      </c>
      <c r="C1117" t="s">
        <v>85</v>
      </c>
      <c r="D1117" t="s">
        <v>136</v>
      </c>
      <c r="E1117">
        <v>1</v>
      </c>
      <c r="F1117" t="s">
        <v>26</v>
      </c>
      <c r="G1117" t="s">
        <v>27</v>
      </c>
      <c r="H1117">
        <v>0</v>
      </c>
      <c r="I1117">
        <v>0</v>
      </c>
      <c r="J1117">
        <v>0</v>
      </c>
      <c r="K1117">
        <v>1</v>
      </c>
      <c r="L1117">
        <v>0</v>
      </c>
    </row>
    <row r="1118" spans="1:12" x14ac:dyDescent="0.35">
      <c r="A1118" t="s">
        <v>534</v>
      </c>
      <c r="B1118" s="7">
        <v>43753.545925925922</v>
      </c>
      <c r="C1118" t="s">
        <v>85</v>
      </c>
      <c r="D1118" t="s">
        <v>136</v>
      </c>
      <c r="E1118">
        <v>1</v>
      </c>
      <c r="F1118" t="s">
        <v>26</v>
      </c>
      <c r="G1118" t="s">
        <v>27</v>
      </c>
      <c r="H1118">
        <v>0</v>
      </c>
      <c r="I1118">
        <v>0</v>
      </c>
      <c r="J1118">
        <v>0</v>
      </c>
      <c r="K1118">
        <v>1</v>
      </c>
      <c r="L1118">
        <v>0</v>
      </c>
    </row>
    <row r="1119" spans="1:12" x14ac:dyDescent="0.35">
      <c r="A1119" t="s">
        <v>536</v>
      </c>
      <c r="B1119" s="7">
        <v>43753.546539351853</v>
      </c>
      <c r="C1119" t="s">
        <v>53</v>
      </c>
      <c r="D1119" t="s">
        <v>47</v>
      </c>
      <c r="E1119">
        <v>1</v>
      </c>
      <c r="F1119" t="s">
        <v>26</v>
      </c>
      <c r="G1119" t="s">
        <v>27</v>
      </c>
      <c r="H1119">
        <v>0</v>
      </c>
      <c r="I1119">
        <v>0</v>
      </c>
      <c r="J1119">
        <v>0</v>
      </c>
      <c r="K1119">
        <v>0</v>
      </c>
      <c r="L1119">
        <v>1</v>
      </c>
    </row>
    <row r="1120" spans="1:12" x14ac:dyDescent="0.35">
      <c r="A1120" t="s">
        <v>537</v>
      </c>
      <c r="B1120" s="7">
        <v>43753.546539351853</v>
      </c>
      <c r="C1120" t="s">
        <v>24</v>
      </c>
      <c r="D1120" t="s">
        <v>47</v>
      </c>
      <c r="E1120">
        <v>1</v>
      </c>
      <c r="F1120" t="s">
        <v>26</v>
      </c>
      <c r="G1120" t="s">
        <v>27</v>
      </c>
      <c r="H1120">
        <v>1</v>
      </c>
      <c r="I1120">
        <v>0</v>
      </c>
      <c r="J1120">
        <v>0</v>
      </c>
      <c r="K1120">
        <v>0</v>
      </c>
      <c r="L1120">
        <v>0</v>
      </c>
    </row>
    <row r="1121" spans="1:12" x14ac:dyDescent="0.35">
      <c r="A1121" t="s">
        <v>538</v>
      </c>
      <c r="B1121" s="7">
        <v>43753.5465625</v>
      </c>
      <c r="C1121" t="s">
        <v>24</v>
      </c>
      <c r="D1121" t="s">
        <v>136</v>
      </c>
      <c r="E1121">
        <v>1</v>
      </c>
      <c r="F1121" t="s">
        <v>26</v>
      </c>
      <c r="G1121" t="s">
        <v>27</v>
      </c>
      <c r="H1121">
        <v>1</v>
      </c>
      <c r="I1121">
        <v>0</v>
      </c>
      <c r="J1121">
        <v>0</v>
      </c>
      <c r="K1121">
        <v>0</v>
      </c>
      <c r="L1121">
        <v>0</v>
      </c>
    </row>
    <row r="1122" spans="1:12" x14ac:dyDescent="0.35">
      <c r="A1122" t="s">
        <v>539</v>
      </c>
      <c r="B1122" s="7">
        <v>43753.546701388892</v>
      </c>
      <c r="C1122" t="s">
        <v>24</v>
      </c>
      <c r="D1122" t="s">
        <v>47</v>
      </c>
      <c r="E1122">
        <v>1</v>
      </c>
      <c r="F1122" t="s">
        <v>26</v>
      </c>
      <c r="G1122" t="s">
        <v>27</v>
      </c>
      <c r="H1122">
        <v>1</v>
      </c>
      <c r="I1122">
        <v>0</v>
      </c>
      <c r="J1122">
        <v>0</v>
      </c>
      <c r="K1122">
        <v>0</v>
      </c>
      <c r="L1122">
        <v>0</v>
      </c>
    </row>
    <row r="1123" spans="1:12" x14ac:dyDescent="0.35">
      <c r="A1123" t="s">
        <v>540</v>
      </c>
      <c r="B1123" s="7">
        <v>43753.546736111108</v>
      </c>
      <c r="C1123" t="s">
        <v>24</v>
      </c>
      <c r="D1123" t="s">
        <v>62</v>
      </c>
      <c r="E1123">
        <v>1</v>
      </c>
      <c r="F1123" t="s">
        <v>26</v>
      </c>
      <c r="G1123" t="s">
        <v>27</v>
      </c>
      <c r="H1123">
        <v>1</v>
      </c>
      <c r="I1123">
        <v>0</v>
      </c>
      <c r="J1123">
        <v>0</v>
      </c>
      <c r="K1123">
        <v>0</v>
      </c>
      <c r="L1123">
        <v>0</v>
      </c>
    </row>
    <row r="1124" spans="1:12" x14ac:dyDescent="0.35">
      <c r="A1124" t="s">
        <v>541</v>
      </c>
      <c r="B1124" s="7">
        <v>43753.546747685185</v>
      </c>
      <c r="C1124" t="s">
        <v>24</v>
      </c>
      <c r="D1124" t="s">
        <v>96</v>
      </c>
      <c r="E1124">
        <v>1</v>
      </c>
      <c r="F1124" t="s">
        <v>26</v>
      </c>
      <c r="G1124" t="s">
        <v>27</v>
      </c>
      <c r="H1124">
        <v>1</v>
      </c>
      <c r="I1124">
        <v>0</v>
      </c>
      <c r="J1124">
        <v>0</v>
      </c>
      <c r="K1124">
        <v>0</v>
      </c>
      <c r="L1124">
        <v>0</v>
      </c>
    </row>
    <row r="1125" spans="1:12" x14ac:dyDescent="0.35">
      <c r="A1125" t="s">
        <v>543</v>
      </c>
      <c r="B1125" s="7">
        <v>43753.547546296293</v>
      </c>
      <c r="C1125" t="s">
        <v>24</v>
      </c>
      <c r="D1125" t="s">
        <v>75</v>
      </c>
      <c r="E1125">
        <v>1</v>
      </c>
      <c r="F1125" t="s">
        <v>26</v>
      </c>
      <c r="G1125" t="s">
        <v>27</v>
      </c>
      <c r="H1125">
        <v>1</v>
      </c>
      <c r="I1125">
        <v>0</v>
      </c>
      <c r="J1125">
        <v>0</v>
      </c>
      <c r="K1125">
        <v>0</v>
      </c>
      <c r="L1125">
        <v>0</v>
      </c>
    </row>
    <row r="1126" spans="1:12" x14ac:dyDescent="0.35">
      <c r="A1126" t="s">
        <v>544</v>
      </c>
      <c r="B1126" s="7">
        <v>43753.547812500001</v>
      </c>
      <c r="C1126" t="s">
        <v>24</v>
      </c>
      <c r="D1126" t="s">
        <v>62</v>
      </c>
      <c r="E1126">
        <v>1</v>
      </c>
      <c r="F1126" t="s">
        <v>26</v>
      </c>
      <c r="G1126" t="s">
        <v>27</v>
      </c>
      <c r="H1126">
        <v>1</v>
      </c>
      <c r="I1126">
        <v>0</v>
      </c>
      <c r="J1126">
        <v>0</v>
      </c>
      <c r="K1126">
        <v>0</v>
      </c>
      <c r="L1126">
        <v>0</v>
      </c>
    </row>
    <row r="1127" spans="1:12" x14ac:dyDescent="0.35">
      <c r="A1127" t="s">
        <v>545</v>
      </c>
      <c r="B1127" s="7">
        <v>43753.548472222225</v>
      </c>
      <c r="C1127" t="s">
        <v>24</v>
      </c>
      <c r="D1127" t="s">
        <v>34</v>
      </c>
      <c r="E1127">
        <v>1</v>
      </c>
      <c r="F1127" t="s">
        <v>26</v>
      </c>
      <c r="G1127" t="s">
        <v>27</v>
      </c>
      <c r="H1127">
        <v>1</v>
      </c>
      <c r="I1127">
        <v>0</v>
      </c>
      <c r="J1127">
        <v>0</v>
      </c>
      <c r="K1127">
        <v>0</v>
      </c>
      <c r="L1127">
        <v>0</v>
      </c>
    </row>
    <row r="1128" spans="1:12" x14ac:dyDescent="0.35">
      <c r="A1128" t="s">
        <v>546</v>
      </c>
      <c r="B1128" s="7">
        <v>43753.548506944448</v>
      </c>
      <c r="C1128" t="s">
        <v>85</v>
      </c>
      <c r="D1128" t="s">
        <v>34</v>
      </c>
      <c r="E1128">
        <v>1</v>
      </c>
      <c r="F1128" t="s">
        <v>26</v>
      </c>
      <c r="G1128" t="s">
        <v>27</v>
      </c>
      <c r="H1128">
        <v>0</v>
      </c>
      <c r="I1128">
        <v>0</v>
      </c>
      <c r="J1128">
        <v>0</v>
      </c>
      <c r="K1128">
        <v>1</v>
      </c>
      <c r="L1128">
        <v>0</v>
      </c>
    </row>
  </sheetData>
  <sortState xmlns:xlrd2="http://schemas.microsoft.com/office/spreadsheetml/2017/richdata2" ref="A2:K1091">
    <sortCondition ref="B2:B1091"/>
    <sortCondition ref="F2:F1091"/>
  </sortState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4C52-1D72-4E35-BFE5-A8753219C97F}">
  <sheetPr codeName="Tabelle4"/>
  <dimension ref="A1:B20"/>
  <sheetViews>
    <sheetView workbookViewId="0">
      <selection activeCell="A4" sqref="A4"/>
    </sheetView>
  </sheetViews>
  <sheetFormatPr baseColWidth="10" defaultRowHeight="15.6" x14ac:dyDescent="0.35"/>
  <cols>
    <col min="1" max="1" width="23.09765625" bestFit="1" customWidth="1"/>
    <col min="2" max="3" width="22" bestFit="1" customWidth="1"/>
    <col min="4" max="7" width="24.19921875" bestFit="1" customWidth="1"/>
    <col min="8" max="8" width="16.19921875" bestFit="1" customWidth="1"/>
  </cols>
  <sheetData>
    <row r="1" spans="1:2" x14ac:dyDescent="0.35">
      <c r="A1" s="27" t="s">
        <v>19</v>
      </c>
      <c r="B1" s="7" t="s">
        <v>66</v>
      </c>
    </row>
    <row r="3" spans="1:2" x14ac:dyDescent="0.35">
      <c r="A3" s="27" t="s">
        <v>65</v>
      </c>
      <c r="B3" t="s">
        <v>97</v>
      </c>
    </row>
    <row r="4" spans="1:2" x14ac:dyDescent="0.35">
      <c r="A4" s="28" t="s">
        <v>31</v>
      </c>
      <c r="B4" s="29">
        <v>125</v>
      </c>
    </row>
    <row r="5" spans="1:2" x14ac:dyDescent="0.35">
      <c r="A5" s="28" t="s">
        <v>235</v>
      </c>
      <c r="B5" s="29">
        <v>117</v>
      </c>
    </row>
    <row r="6" spans="1:2" x14ac:dyDescent="0.35">
      <c r="A6" s="28" t="s">
        <v>34</v>
      </c>
      <c r="B6" s="29">
        <v>110</v>
      </c>
    </row>
    <row r="7" spans="1:2" x14ac:dyDescent="0.35">
      <c r="A7" s="28" t="s">
        <v>229</v>
      </c>
      <c r="B7" s="29">
        <v>110</v>
      </c>
    </row>
    <row r="8" spans="1:2" x14ac:dyDescent="0.35">
      <c r="A8" s="28" t="s">
        <v>238</v>
      </c>
      <c r="B8" s="29">
        <v>102</v>
      </c>
    </row>
    <row r="9" spans="1:2" x14ac:dyDescent="0.35">
      <c r="A9" s="28" t="s">
        <v>233</v>
      </c>
      <c r="B9" s="29">
        <v>99</v>
      </c>
    </row>
    <row r="10" spans="1:2" x14ac:dyDescent="0.35">
      <c r="A10" s="28" t="s">
        <v>25</v>
      </c>
      <c r="B10" s="29">
        <v>24</v>
      </c>
    </row>
    <row r="11" spans="1:2" x14ac:dyDescent="0.35">
      <c r="A11" s="28" t="s">
        <v>62</v>
      </c>
      <c r="B11" s="29">
        <v>16</v>
      </c>
    </row>
    <row r="12" spans="1:2" x14ac:dyDescent="0.35">
      <c r="A12" s="28" t="s">
        <v>136</v>
      </c>
      <c r="B12" s="29">
        <v>15</v>
      </c>
    </row>
    <row r="13" spans="1:2" x14ac:dyDescent="0.35">
      <c r="A13" s="28" t="s">
        <v>75</v>
      </c>
      <c r="B13" s="29">
        <v>13</v>
      </c>
    </row>
    <row r="14" spans="1:2" x14ac:dyDescent="0.35">
      <c r="A14" s="28" t="s">
        <v>96</v>
      </c>
      <c r="B14" s="29">
        <v>12</v>
      </c>
    </row>
    <row r="15" spans="1:2" x14ac:dyDescent="0.35">
      <c r="A15" s="28" t="s">
        <v>32</v>
      </c>
      <c r="B15" s="29">
        <v>9</v>
      </c>
    </row>
    <row r="16" spans="1:2" x14ac:dyDescent="0.35">
      <c r="A16" s="28" t="s">
        <v>71</v>
      </c>
      <c r="B16" s="29">
        <v>2</v>
      </c>
    </row>
    <row r="17" spans="1:2" x14ac:dyDescent="0.35">
      <c r="A17" s="28" t="s">
        <v>515</v>
      </c>
      <c r="B17" s="29">
        <v>0</v>
      </c>
    </row>
    <row r="18" spans="1:2" x14ac:dyDescent="0.35">
      <c r="A18" s="28" t="s">
        <v>518</v>
      </c>
      <c r="B18" s="29">
        <v>0</v>
      </c>
    </row>
    <row r="19" spans="1:2" x14ac:dyDescent="0.35">
      <c r="A19" s="28" t="s">
        <v>63</v>
      </c>
      <c r="B19" s="29"/>
    </row>
    <row r="20" spans="1:2" x14ac:dyDescent="0.35">
      <c r="A20" s="28" t="s">
        <v>64</v>
      </c>
      <c r="B20" s="29">
        <v>754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85306-4A99-41F9-8393-9E2EB6609779}">
  <sheetPr codeName="Tabelle5"/>
  <dimension ref="A1:B11"/>
  <sheetViews>
    <sheetView workbookViewId="0">
      <selection activeCell="B1" sqref="B1"/>
    </sheetView>
  </sheetViews>
  <sheetFormatPr baseColWidth="10" defaultRowHeight="15.6" x14ac:dyDescent="0.35"/>
  <cols>
    <col min="1" max="1" width="23.09765625" bestFit="1" customWidth="1"/>
    <col min="2" max="2" width="15.69921875" bestFit="1" customWidth="1"/>
  </cols>
  <sheetData>
    <row r="1" spans="1:2" x14ac:dyDescent="0.35">
      <c r="A1" s="27" t="s">
        <v>65</v>
      </c>
      <c r="B1" t="s">
        <v>78</v>
      </c>
    </row>
    <row r="2" spans="1:2" x14ac:dyDescent="0.35">
      <c r="A2" s="28" t="s">
        <v>26</v>
      </c>
      <c r="B2" s="31">
        <v>43753.546747685185</v>
      </c>
    </row>
    <row r="3" spans="1:2" x14ac:dyDescent="0.35">
      <c r="A3" s="28" t="s">
        <v>63</v>
      </c>
      <c r="B3" s="31"/>
    </row>
    <row r="4" spans="1:2" x14ac:dyDescent="0.35">
      <c r="A4" s="28" t="s">
        <v>230</v>
      </c>
      <c r="B4" s="31">
        <v>43768.551562499997</v>
      </c>
    </row>
    <row r="5" spans="1:2" x14ac:dyDescent="0.35">
      <c r="A5" s="28" t="s">
        <v>236</v>
      </c>
      <c r="B5" s="31">
        <v>43768.551562499997</v>
      </c>
    </row>
    <row r="6" spans="1:2" x14ac:dyDescent="0.35">
      <c r="A6" s="28" t="s">
        <v>239</v>
      </c>
      <c r="B6" s="31">
        <v>43768.551562499997</v>
      </c>
    </row>
    <row r="7" spans="1:2" x14ac:dyDescent="0.35">
      <c r="A7" s="28" t="s">
        <v>240</v>
      </c>
      <c r="B7" s="31">
        <v>43768.551562499997</v>
      </c>
    </row>
    <row r="8" spans="1:2" x14ac:dyDescent="0.35">
      <c r="A8" s="28" t="s">
        <v>242</v>
      </c>
      <c r="B8" s="31">
        <v>43768.551562499997</v>
      </c>
    </row>
    <row r="9" spans="1:2" x14ac:dyDescent="0.35">
      <c r="A9" s="28" t="s">
        <v>249</v>
      </c>
      <c r="B9" s="31">
        <v>43768.551562499997</v>
      </c>
    </row>
    <row r="10" spans="1:2" x14ac:dyDescent="0.35">
      <c r="A10" s="28" t="s">
        <v>505</v>
      </c>
      <c r="B10" s="31">
        <v>43752.540868055556</v>
      </c>
    </row>
    <row r="11" spans="1:2" x14ac:dyDescent="0.35">
      <c r="A11" s="28" t="s">
        <v>64</v>
      </c>
      <c r="B11" s="31">
        <v>43768.551562499997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6F2A1-A40D-4B51-A5DE-7D8962F581A6}">
  <sheetPr codeName="Tabelle3"/>
  <dimension ref="A3:F20"/>
  <sheetViews>
    <sheetView workbookViewId="0">
      <selection activeCell="B5" sqref="B5"/>
    </sheetView>
  </sheetViews>
  <sheetFormatPr baseColWidth="10" defaultRowHeight="15.6" x14ac:dyDescent="0.35"/>
  <cols>
    <col min="1" max="1" width="23.09765625" bestFit="1" customWidth="1"/>
    <col min="2" max="2" width="22" bestFit="1" customWidth="1"/>
    <col min="3" max="3" width="18.69921875" bestFit="1" customWidth="1"/>
    <col min="4" max="4" width="18.19921875" bestFit="1" customWidth="1"/>
    <col min="5" max="5" width="17.59765625" bestFit="1" customWidth="1"/>
    <col min="6" max="6" width="20.59765625" bestFit="1" customWidth="1"/>
  </cols>
  <sheetData>
    <row r="3" spans="1:6" x14ac:dyDescent="0.35">
      <c r="A3" s="27" t="s">
        <v>65</v>
      </c>
      <c r="B3" t="s">
        <v>97</v>
      </c>
      <c r="C3" t="s">
        <v>124</v>
      </c>
      <c r="D3" t="s">
        <v>125</v>
      </c>
      <c r="E3" t="s">
        <v>126</v>
      </c>
      <c r="F3" t="s">
        <v>542</v>
      </c>
    </row>
    <row r="4" spans="1:6" x14ac:dyDescent="0.35">
      <c r="A4" s="28" t="s">
        <v>25</v>
      </c>
      <c r="B4" s="29">
        <v>24</v>
      </c>
      <c r="C4" s="29">
        <v>0</v>
      </c>
      <c r="D4" s="29">
        <v>0</v>
      </c>
      <c r="E4" s="29">
        <v>10</v>
      </c>
      <c r="F4" s="29">
        <v>0</v>
      </c>
    </row>
    <row r="5" spans="1:6" x14ac:dyDescent="0.35">
      <c r="A5" s="28" t="s">
        <v>31</v>
      </c>
      <c r="B5" s="29">
        <v>125</v>
      </c>
      <c r="C5" s="29">
        <v>15</v>
      </c>
      <c r="D5" s="29">
        <v>11</v>
      </c>
      <c r="E5" s="29">
        <v>6</v>
      </c>
      <c r="F5" s="29">
        <v>0</v>
      </c>
    </row>
    <row r="6" spans="1:6" x14ac:dyDescent="0.35">
      <c r="A6" s="28" t="s">
        <v>34</v>
      </c>
      <c r="B6" s="29">
        <v>110</v>
      </c>
      <c r="C6" s="29">
        <v>16</v>
      </c>
      <c r="D6" s="29">
        <v>17</v>
      </c>
      <c r="E6" s="29">
        <v>35</v>
      </c>
      <c r="F6" s="29">
        <v>0</v>
      </c>
    </row>
    <row r="7" spans="1:6" x14ac:dyDescent="0.35">
      <c r="A7" s="28" t="s">
        <v>32</v>
      </c>
      <c r="B7" s="29">
        <v>9</v>
      </c>
      <c r="C7" s="29">
        <v>0</v>
      </c>
      <c r="D7" s="29">
        <v>0</v>
      </c>
      <c r="E7" s="29">
        <v>0</v>
      </c>
      <c r="F7" s="29">
        <v>0</v>
      </c>
    </row>
    <row r="8" spans="1:6" x14ac:dyDescent="0.35">
      <c r="A8" s="28" t="s">
        <v>235</v>
      </c>
      <c r="B8" s="29">
        <v>117</v>
      </c>
      <c r="C8" s="29">
        <v>21</v>
      </c>
      <c r="D8" s="29">
        <v>12</v>
      </c>
      <c r="E8" s="29">
        <v>15</v>
      </c>
      <c r="F8" s="29">
        <v>1</v>
      </c>
    </row>
    <row r="9" spans="1:6" x14ac:dyDescent="0.35">
      <c r="A9" s="28" t="s">
        <v>229</v>
      </c>
      <c r="B9" s="29">
        <v>110</v>
      </c>
      <c r="C9" s="29">
        <v>30</v>
      </c>
      <c r="D9" s="29">
        <v>14</v>
      </c>
      <c r="E9" s="29">
        <v>11</v>
      </c>
      <c r="F9" s="29">
        <v>0</v>
      </c>
    </row>
    <row r="10" spans="1:6" x14ac:dyDescent="0.35">
      <c r="A10" s="28" t="s">
        <v>63</v>
      </c>
      <c r="B10" s="29"/>
      <c r="C10" s="29"/>
      <c r="D10" s="29"/>
      <c r="E10" s="29"/>
      <c r="F10" s="29"/>
    </row>
    <row r="11" spans="1:6" x14ac:dyDescent="0.35">
      <c r="A11" s="28" t="s">
        <v>62</v>
      </c>
      <c r="B11" s="29">
        <v>16</v>
      </c>
      <c r="C11" s="29">
        <v>0</v>
      </c>
      <c r="D11" s="29">
        <v>0</v>
      </c>
      <c r="E11" s="29">
        <v>2</v>
      </c>
      <c r="F11" s="29">
        <v>0</v>
      </c>
    </row>
    <row r="12" spans="1:6" x14ac:dyDescent="0.35">
      <c r="A12" s="28" t="s">
        <v>71</v>
      </c>
      <c r="B12" s="29">
        <v>2</v>
      </c>
      <c r="C12" s="29">
        <v>0</v>
      </c>
      <c r="D12" s="29">
        <v>0</v>
      </c>
      <c r="E12" s="29">
        <v>1</v>
      </c>
      <c r="F12" s="29">
        <v>0</v>
      </c>
    </row>
    <row r="13" spans="1:6" x14ac:dyDescent="0.35">
      <c r="A13" s="28" t="s">
        <v>75</v>
      </c>
      <c r="B13" s="29">
        <v>13</v>
      </c>
      <c r="C13" s="29">
        <v>0</v>
      </c>
      <c r="D13" s="29">
        <v>0</v>
      </c>
      <c r="E13" s="29">
        <v>0</v>
      </c>
      <c r="F13" s="29">
        <v>0</v>
      </c>
    </row>
    <row r="14" spans="1:6" x14ac:dyDescent="0.35">
      <c r="A14" s="28" t="s">
        <v>96</v>
      </c>
      <c r="B14" s="29">
        <v>12</v>
      </c>
      <c r="C14" s="29">
        <v>0</v>
      </c>
      <c r="D14" s="29">
        <v>1</v>
      </c>
      <c r="E14" s="29">
        <v>12</v>
      </c>
      <c r="F14" s="29">
        <v>0</v>
      </c>
    </row>
    <row r="15" spans="1:6" x14ac:dyDescent="0.35">
      <c r="A15" s="28" t="s">
        <v>136</v>
      </c>
      <c r="B15" s="29">
        <v>15</v>
      </c>
      <c r="C15" s="29">
        <v>0</v>
      </c>
      <c r="D15" s="29">
        <v>3</v>
      </c>
      <c r="E15" s="29">
        <v>25</v>
      </c>
      <c r="F15" s="29">
        <v>0</v>
      </c>
    </row>
    <row r="16" spans="1:6" x14ac:dyDescent="0.35">
      <c r="A16" s="28" t="s">
        <v>233</v>
      </c>
      <c r="B16" s="29">
        <v>99</v>
      </c>
      <c r="C16" s="29">
        <v>27</v>
      </c>
      <c r="D16" s="29">
        <v>19</v>
      </c>
      <c r="E16" s="29">
        <v>13</v>
      </c>
      <c r="F16" s="29">
        <v>0</v>
      </c>
    </row>
    <row r="17" spans="1:6" x14ac:dyDescent="0.35">
      <c r="A17" s="28" t="s">
        <v>238</v>
      </c>
      <c r="B17" s="29">
        <v>102</v>
      </c>
      <c r="C17" s="29">
        <v>20</v>
      </c>
      <c r="D17" s="29">
        <v>12</v>
      </c>
      <c r="E17" s="29">
        <v>10</v>
      </c>
      <c r="F17" s="29">
        <v>0</v>
      </c>
    </row>
    <row r="18" spans="1:6" x14ac:dyDescent="0.35">
      <c r="A18" s="28" t="s">
        <v>515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</row>
    <row r="19" spans="1:6" x14ac:dyDescent="0.35">
      <c r="A19" s="28" t="s">
        <v>518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</row>
    <row r="20" spans="1:6" x14ac:dyDescent="0.35">
      <c r="A20" s="28" t="s">
        <v>64</v>
      </c>
      <c r="B20" s="29">
        <v>754</v>
      </c>
      <c r="C20" s="29">
        <v>129</v>
      </c>
      <c r="D20" s="29">
        <v>89</v>
      </c>
      <c r="E20" s="29">
        <v>140</v>
      </c>
      <c r="F20" s="29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</vt:vector>
  </HeadingPairs>
  <TitlesOfParts>
    <vt:vector size="7" baseType="lpstr">
      <vt:lpstr>inhalt</vt:lpstr>
      <vt:lpstr>tabelle</vt:lpstr>
      <vt:lpstr>_wbTagDB</vt:lpstr>
      <vt:lpstr>_pageviews</vt:lpstr>
      <vt:lpstr>_user</vt:lpstr>
      <vt:lpstr>_allmetrics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Kleine</dc:creator>
  <cp:lastModifiedBy>Christoph Kleine</cp:lastModifiedBy>
  <dcterms:created xsi:type="dcterms:W3CDTF">2019-09-11T15:30:14Z</dcterms:created>
  <dcterms:modified xsi:type="dcterms:W3CDTF">2019-10-15T11:09:55Z</dcterms:modified>
</cp:coreProperties>
</file>